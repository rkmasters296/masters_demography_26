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1"/>
  <workbookPr filterPrivacy="1" defaultThemeVersion="123820"/>
  <xr:revisionPtr revIDLastSave="0" documentId="13_ncr:1_{68494CBE-8FE8-C745-AF50-55618A3D8006}" xr6:coauthVersionLast="47" xr6:coauthVersionMax="47" xr10:uidLastSave="{00000000-0000-0000-0000-000000000000}"/>
  <bookViews>
    <workbookView xWindow="0" yWindow="600" windowWidth="28800" windowHeight="17400" activeTab="1" xr2:uid="{00000000-000D-0000-FFFF-FFFF00000000}"/>
  </bookViews>
  <sheets>
    <sheet name="2019 Official LT_Table 2" sheetId="1" r:id="rId1"/>
    <sheet name="2020 Estimated LT" sheetId="2" r:id="rId2"/>
  </sheets>
  <definedNames>
    <definedName name="_xlnm.Print_Titles" localSheetId="0">'2019 Official LT_Table 2'!$1:$3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5" i="2" l="1"/>
  <c r="Q26" i="2"/>
  <c r="Q27" i="2"/>
  <c r="Q28" i="2"/>
  <c r="W53" i="2" l="1"/>
  <c r="W52" i="2"/>
  <c r="W51" i="2"/>
  <c r="W50" i="2"/>
  <c r="W49" i="2"/>
  <c r="W48" i="2"/>
  <c r="W47" i="2"/>
  <c r="W46" i="2"/>
  <c r="W45" i="2"/>
  <c r="W44" i="2"/>
  <c r="W43" i="2"/>
  <c r="W42" i="2"/>
  <c r="W41" i="2"/>
  <c r="W40" i="2"/>
  <c r="W39" i="2"/>
  <c r="W38" i="2"/>
  <c r="W37" i="2"/>
  <c r="W36" i="2"/>
  <c r="W35" i="2"/>
  <c r="W34" i="2"/>
  <c r="W33" i="2"/>
  <c r="W32" i="2"/>
  <c r="R25" i="2"/>
  <c r="Q50" i="2" s="1"/>
  <c r="Q24" i="2"/>
  <c r="T53" i="2"/>
  <c r="V53" i="2" s="1"/>
  <c r="Q53" i="2"/>
  <c r="T52" i="2"/>
  <c r="V52" i="2" s="1"/>
  <c r="T51" i="2"/>
  <c r="V51" i="2" s="1"/>
  <c r="T50" i="2"/>
  <c r="V50" i="2" s="1"/>
  <c r="T49" i="2"/>
  <c r="V49" i="2" s="1"/>
  <c r="T48" i="2"/>
  <c r="T47" i="2"/>
  <c r="V47" i="2" s="1"/>
  <c r="T46" i="2"/>
  <c r="V46" i="2" s="1"/>
  <c r="T45" i="2"/>
  <c r="V45" i="2" s="1"/>
  <c r="T44" i="2"/>
  <c r="T43" i="2"/>
  <c r="T42" i="2"/>
  <c r="V42" i="2" s="1"/>
  <c r="T41" i="2"/>
  <c r="V41" i="2" s="1"/>
  <c r="T40" i="2"/>
  <c r="V40" i="2" s="1"/>
  <c r="T39" i="2"/>
  <c r="V39" i="2" s="1"/>
  <c r="T38" i="2"/>
  <c r="V38" i="2" s="1"/>
  <c r="T37" i="2"/>
  <c r="T36" i="2"/>
  <c r="T35" i="2"/>
  <c r="U35" i="2" s="1"/>
  <c r="T34" i="2"/>
  <c r="V34" i="2" s="1"/>
  <c r="T33" i="2"/>
  <c r="T32" i="2"/>
  <c r="R27" i="2"/>
  <c r="Q52" i="2" s="1"/>
  <c r="R26" i="2"/>
  <c r="Q51" i="2" s="1"/>
  <c r="R24" i="2"/>
  <c r="Q49" i="2" s="1"/>
  <c r="Q23" i="2"/>
  <c r="R23" i="2" s="1"/>
  <c r="Q48" i="2" s="1"/>
  <c r="Q22" i="2"/>
  <c r="R22" i="2" s="1"/>
  <c r="Q47" i="2" s="1"/>
  <c r="Q21" i="2"/>
  <c r="R21" i="2" s="1"/>
  <c r="Q46" i="2" s="1"/>
  <c r="S46" i="2" s="1"/>
  <c r="Q20" i="2"/>
  <c r="R20" i="2" s="1"/>
  <c r="Q45" i="2" s="1"/>
  <c r="Q19" i="2"/>
  <c r="R19" i="2" s="1"/>
  <c r="Q44" i="2" s="1"/>
  <c r="Q18" i="2"/>
  <c r="R18" i="2" s="1"/>
  <c r="Q43" i="2" s="1"/>
  <c r="Q17" i="2"/>
  <c r="R17" i="2" s="1"/>
  <c r="Q42" i="2" s="1"/>
  <c r="Q16" i="2"/>
  <c r="R16" i="2" s="1"/>
  <c r="Q41" i="2" s="1"/>
  <c r="Q15" i="2"/>
  <c r="R15" i="2" s="1"/>
  <c r="Q40" i="2" s="1"/>
  <c r="Q14" i="2"/>
  <c r="R14" i="2" s="1"/>
  <c r="Q39" i="2" s="1"/>
  <c r="Q13" i="2"/>
  <c r="R13" i="2" s="1"/>
  <c r="Q38" i="2" s="1"/>
  <c r="S38" i="2" s="1"/>
  <c r="Q12" i="2"/>
  <c r="R12" i="2" s="1"/>
  <c r="Q37" i="2" s="1"/>
  <c r="Q11" i="2"/>
  <c r="R11" i="2" s="1"/>
  <c r="Q36" i="2" s="1"/>
  <c r="Q10" i="2"/>
  <c r="R10" i="2" s="1"/>
  <c r="Q35" i="2" s="1"/>
  <c r="Q9" i="2"/>
  <c r="R9" i="2" s="1"/>
  <c r="Q34" i="2" s="1"/>
  <c r="Q8" i="2"/>
  <c r="R8" i="2" s="1"/>
  <c r="Q33" i="2" s="1"/>
  <c r="Z7" i="2"/>
  <c r="Q7" i="2"/>
  <c r="R7" i="2" s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M27" i="1"/>
  <c r="I27" i="1"/>
  <c r="I26" i="1"/>
  <c r="T25" i="1"/>
  <c r="S25" i="1"/>
  <c r="M25" i="1"/>
  <c r="L25" i="1"/>
  <c r="N25" i="1" s="1"/>
  <c r="X25" i="1" s="1"/>
  <c r="AG25" i="1" s="1"/>
  <c r="I25" i="1"/>
  <c r="X24" i="1"/>
  <c r="AG24" i="1" s="1"/>
  <c r="T24" i="1"/>
  <c r="U24" i="1" s="1"/>
  <c r="S24" i="1"/>
  <c r="N24" i="1"/>
  <c r="M24" i="1"/>
  <c r="L24" i="1"/>
  <c r="I24" i="1"/>
  <c r="U23" i="1"/>
  <c r="T23" i="1"/>
  <c r="S23" i="1"/>
  <c r="M23" i="1"/>
  <c r="L23" i="1"/>
  <c r="N23" i="1" s="1"/>
  <c r="X23" i="1" s="1"/>
  <c r="AG23" i="1" s="1"/>
  <c r="I23" i="1"/>
  <c r="T22" i="1"/>
  <c r="U21" i="1" s="1"/>
  <c r="S22" i="1"/>
  <c r="N22" i="1"/>
  <c r="X22" i="1" s="1"/>
  <c r="AG22" i="1" s="1"/>
  <c r="M22" i="1"/>
  <c r="L22" i="1"/>
  <c r="L27" i="1" s="1"/>
  <c r="I22" i="1"/>
  <c r="T21" i="1"/>
  <c r="S21" i="1"/>
  <c r="M21" i="1"/>
  <c r="N21" i="1" s="1"/>
  <c r="X21" i="1" s="1"/>
  <c r="AG21" i="1" s="1"/>
  <c r="L21" i="1"/>
  <c r="I21" i="1"/>
  <c r="T20" i="1"/>
  <c r="S20" i="1"/>
  <c r="M20" i="1"/>
  <c r="L20" i="1"/>
  <c r="N20" i="1" s="1"/>
  <c r="X20" i="1" s="1"/>
  <c r="AG20" i="1" s="1"/>
  <c r="I20" i="1"/>
  <c r="T19" i="1"/>
  <c r="S19" i="1"/>
  <c r="N19" i="1"/>
  <c r="X19" i="1" s="1"/>
  <c r="AG19" i="1" s="1"/>
  <c r="M19" i="1"/>
  <c r="L19" i="1"/>
  <c r="I19" i="1"/>
  <c r="T18" i="1"/>
  <c r="S18" i="1"/>
  <c r="M18" i="1"/>
  <c r="L18" i="1"/>
  <c r="N18" i="1" s="1"/>
  <c r="X18" i="1" s="1"/>
  <c r="AG18" i="1" s="1"/>
  <c r="I18" i="1"/>
  <c r="T17" i="1"/>
  <c r="S17" i="1"/>
  <c r="M17" i="1"/>
  <c r="L17" i="1"/>
  <c r="N17" i="1" s="1"/>
  <c r="X17" i="1" s="1"/>
  <c r="AG17" i="1" s="1"/>
  <c r="I17" i="1"/>
  <c r="T16" i="1"/>
  <c r="S16" i="1"/>
  <c r="N16" i="1"/>
  <c r="X16" i="1" s="1"/>
  <c r="AG16" i="1" s="1"/>
  <c r="M16" i="1"/>
  <c r="L16" i="1"/>
  <c r="I16" i="1"/>
  <c r="T15" i="1"/>
  <c r="S15" i="1"/>
  <c r="M15" i="1"/>
  <c r="L15" i="1"/>
  <c r="N15" i="1" s="1"/>
  <c r="X15" i="1" s="1"/>
  <c r="AG15" i="1" s="1"/>
  <c r="I15" i="1"/>
  <c r="T14" i="1"/>
  <c r="S14" i="1"/>
  <c r="M14" i="1"/>
  <c r="N14" i="1" s="1"/>
  <c r="X14" i="1" s="1"/>
  <c r="AG14" i="1" s="1"/>
  <c r="L14" i="1"/>
  <c r="I14" i="1"/>
  <c r="T13" i="1"/>
  <c r="S13" i="1"/>
  <c r="M13" i="1"/>
  <c r="N13" i="1" s="1"/>
  <c r="X13" i="1" s="1"/>
  <c r="AG13" i="1" s="1"/>
  <c r="L13" i="1"/>
  <c r="I13" i="1"/>
  <c r="T12" i="1"/>
  <c r="S12" i="1"/>
  <c r="M12" i="1"/>
  <c r="L12" i="1"/>
  <c r="N12" i="1" s="1"/>
  <c r="X12" i="1" s="1"/>
  <c r="AG12" i="1" s="1"/>
  <c r="I12" i="1"/>
  <c r="T11" i="1"/>
  <c r="S11" i="1"/>
  <c r="M11" i="1"/>
  <c r="L11" i="1"/>
  <c r="N11" i="1" s="1"/>
  <c r="X11" i="1" s="1"/>
  <c r="AG11" i="1" s="1"/>
  <c r="I11" i="1"/>
  <c r="T10" i="1"/>
  <c r="S10" i="1"/>
  <c r="M10" i="1"/>
  <c r="L10" i="1"/>
  <c r="N10" i="1" s="1"/>
  <c r="X10" i="1" s="1"/>
  <c r="AG10" i="1" s="1"/>
  <c r="I10" i="1"/>
  <c r="T9" i="1"/>
  <c r="S9" i="1"/>
  <c r="M9" i="1"/>
  <c r="L9" i="1"/>
  <c r="N9" i="1" s="1"/>
  <c r="X9" i="1" s="1"/>
  <c r="AG9" i="1" s="1"/>
  <c r="I9" i="1"/>
  <c r="T8" i="1"/>
  <c r="S8" i="1"/>
  <c r="N8" i="1"/>
  <c r="X8" i="1" s="1"/>
  <c r="AG8" i="1" s="1"/>
  <c r="M8" i="1"/>
  <c r="L8" i="1"/>
  <c r="I8" i="1"/>
  <c r="T7" i="1"/>
  <c r="S7" i="1"/>
  <c r="M7" i="1"/>
  <c r="L7" i="1"/>
  <c r="N7" i="1" s="1"/>
  <c r="X7" i="1" s="1"/>
  <c r="AG7" i="1" s="1"/>
  <c r="I7" i="1"/>
  <c r="T6" i="1"/>
  <c r="S6" i="1"/>
  <c r="M6" i="1"/>
  <c r="N6" i="1" s="1"/>
  <c r="X6" i="1" s="1"/>
  <c r="AG6" i="1" s="1"/>
  <c r="L6" i="1"/>
  <c r="I6" i="1"/>
  <c r="T5" i="1"/>
  <c r="S5" i="1"/>
  <c r="M5" i="1"/>
  <c r="N5" i="1" s="1"/>
  <c r="X5" i="1" s="1"/>
  <c r="AG5" i="1" s="1"/>
  <c r="L5" i="1"/>
  <c r="I5" i="1"/>
  <c r="T4" i="1"/>
  <c r="S4" i="1"/>
  <c r="R5" i="1" s="1"/>
  <c r="Q5" i="1" s="1"/>
  <c r="Q4" i="1"/>
  <c r="M4" i="1"/>
  <c r="N4" i="1" s="1"/>
  <c r="X4" i="1" s="1"/>
  <c r="AG4" i="1" s="1"/>
  <c r="L4" i="1"/>
  <c r="I4" i="1"/>
  <c r="V48" i="2" l="1"/>
  <c r="U48" i="2"/>
  <c r="U44" i="2"/>
  <c r="V44" i="2"/>
  <c r="V43" i="2"/>
  <c r="U43" i="2"/>
  <c r="V37" i="2"/>
  <c r="U37" i="2"/>
  <c r="V36" i="2"/>
  <c r="U36" i="2"/>
  <c r="V33" i="2"/>
  <c r="U33" i="2"/>
  <c r="V32" i="2"/>
  <c r="U32" i="2"/>
  <c r="U40" i="2"/>
  <c r="U47" i="2"/>
  <c r="U51" i="2"/>
  <c r="U52" i="2"/>
  <c r="U45" i="2"/>
  <c r="U49" i="2"/>
  <c r="U41" i="2"/>
  <c r="U39" i="2"/>
  <c r="S45" i="2"/>
  <c r="R45" i="2"/>
  <c r="R52" i="2"/>
  <c r="S52" i="2"/>
  <c r="V7" i="2"/>
  <c r="S8" i="2" s="1"/>
  <c r="Q32" i="2"/>
  <c r="S50" i="2"/>
  <c r="R50" i="2"/>
  <c r="R44" i="2"/>
  <c r="S44" i="2"/>
  <c r="S33" i="2"/>
  <c r="R33" i="2"/>
  <c r="S41" i="2"/>
  <c r="R41" i="2"/>
  <c r="R47" i="2"/>
  <c r="S47" i="2"/>
  <c r="S39" i="2"/>
  <c r="R39" i="2"/>
  <c r="S34" i="2"/>
  <c r="R34" i="2"/>
  <c r="R40" i="2"/>
  <c r="S40" i="2"/>
  <c r="R36" i="2"/>
  <c r="S36" i="2"/>
  <c r="S42" i="2"/>
  <c r="R42" i="2"/>
  <c r="R48" i="2"/>
  <c r="S48" i="2"/>
  <c r="S51" i="2"/>
  <c r="R51" i="2"/>
  <c r="S35" i="2"/>
  <c r="R35" i="2"/>
  <c r="S37" i="2"/>
  <c r="R37" i="2"/>
  <c r="S43" i="2"/>
  <c r="R43" i="2"/>
  <c r="S49" i="2"/>
  <c r="R49" i="2"/>
  <c r="R38" i="2"/>
  <c r="R46" i="2"/>
  <c r="V35" i="2"/>
  <c r="U34" i="2"/>
  <c r="U38" i="2"/>
  <c r="U42" i="2"/>
  <c r="U46" i="2"/>
  <c r="U50" i="2"/>
  <c r="U53" i="2"/>
  <c r="Y4" i="1"/>
  <c r="AH4" i="1" s="1"/>
  <c r="AA4" i="1" s="1"/>
  <c r="AC4" i="1" s="1"/>
  <c r="AB5" i="1" s="1"/>
  <c r="U5" i="1"/>
  <c r="V5" i="1" s="1"/>
  <c r="U13" i="1"/>
  <c r="N27" i="1"/>
  <c r="U12" i="1"/>
  <c r="R6" i="1"/>
  <c r="U10" i="1"/>
  <c r="U20" i="1"/>
  <c r="Q6" i="1"/>
  <c r="U7" i="1"/>
  <c r="U15" i="1"/>
  <c r="Y25" i="1"/>
  <c r="AH25" i="1" s="1"/>
  <c r="U25" i="1"/>
  <c r="W25" i="1"/>
  <c r="U18" i="1"/>
  <c r="U9" i="1"/>
  <c r="U22" i="1"/>
  <c r="W4" i="1"/>
  <c r="U11" i="1"/>
  <c r="U19" i="1"/>
  <c r="U17" i="1"/>
  <c r="U6" i="1"/>
  <c r="V6" i="1" s="1"/>
  <c r="U14" i="1"/>
  <c r="U8" i="1"/>
  <c r="U16" i="1"/>
  <c r="U4" i="1"/>
  <c r="V4" i="1" s="1"/>
  <c r="T7" i="2" l="1"/>
  <c r="V8" i="2"/>
  <c r="S9" i="2" s="1"/>
  <c r="R32" i="2"/>
  <c r="S32" i="2"/>
  <c r="AD4" i="1"/>
  <c r="R7" i="1"/>
  <c r="Y5" i="1"/>
  <c r="AH5" i="1" s="1"/>
  <c r="AA5" i="1" s="1"/>
  <c r="AC5" i="1" s="1"/>
  <c r="AB6" i="1" s="1"/>
  <c r="W5" i="1"/>
  <c r="T8" i="2" l="1"/>
  <c r="V9" i="2"/>
  <c r="S10" i="2" s="1"/>
  <c r="AD5" i="1"/>
  <c r="R8" i="1"/>
  <c r="Q7" i="1"/>
  <c r="Y6" i="1"/>
  <c r="AH6" i="1" s="1"/>
  <c r="AA6" i="1" s="1"/>
  <c r="AC6" i="1" s="1"/>
  <c r="AB7" i="1" s="1"/>
  <c r="W6" i="1"/>
  <c r="V7" i="1"/>
  <c r="V10" i="2" l="1"/>
  <c r="T9" i="2"/>
  <c r="S11" i="2"/>
  <c r="AD6" i="1"/>
  <c r="W7" i="1"/>
  <c r="Q8" i="1"/>
  <c r="R9" i="1"/>
  <c r="Y7" i="1"/>
  <c r="AH7" i="1" s="1"/>
  <c r="AA7" i="1" s="1"/>
  <c r="AC7" i="1" s="1"/>
  <c r="AB8" i="1" s="1"/>
  <c r="V8" i="1"/>
  <c r="V11" i="2" l="1"/>
  <c r="S12" i="2"/>
  <c r="T10" i="2"/>
  <c r="AD7" i="1"/>
  <c r="Y8" i="1"/>
  <c r="AH8" i="1" s="1"/>
  <c r="AA8" i="1" s="1"/>
  <c r="AC8" i="1" s="1"/>
  <c r="AB9" i="1" s="1"/>
  <c r="R10" i="1"/>
  <c r="W8" i="1"/>
  <c r="Q9" i="1"/>
  <c r="V9" i="1"/>
  <c r="V12" i="2" l="1"/>
  <c r="T11" i="2"/>
  <c r="S13" i="2"/>
  <c r="AD8" i="1"/>
  <c r="Q10" i="1"/>
  <c r="R11" i="1"/>
  <c r="W9" i="1"/>
  <c r="Y9" i="1"/>
  <c r="AH9" i="1" s="1"/>
  <c r="AA9" i="1" s="1"/>
  <c r="AC9" i="1" s="1"/>
  <c r="AB10" i="1" s="1"/>
  <c r="V10" i="1"/>
  <c r="V13" i="2" l="1"/>
  <c r="T12" i="2"/>
  <c r="S14" i="2"/>
  <c r="AD9" i="1"/>
  <c r="R12" i="1"/>
  <c r="Y10" i="1"/>
  <c r="AH10" i="1" s="1"/>
  <c r="AA10" i="1" s="1"/>
  <c r="AC10" i="1" s="1"/>
  <c r="AB11" i="1" s="1"/>
  <c r="W10" i="1"/>
  <c r="Q11" i="1"/>
  <c r="V11" i="1"/>
  <c r="T13" i="2" l="1"/>
  <c r="V14" i="2"/>
  <c r="S15" i="2" s="1"/>
  <c r="AD10" i="1"/>
  <c r="R13" i="1"/>
  <c r="Y11" i="1"/>
  <c r="AH11" i="1" s="1"/>
  <c r="AA11" i="1" s="1"/>
  <c r="AC11" i="1" s="1"/>
  <c r="AB12" i="1" s="1"/>
  <c r="W11" i="1"/>
  <c r="Q12" i="1"/>
  <c r="V12" i="1"/>
  <c r="V15" i="2" l="1"/>
  <c r="S16" i="2" s="1"/>
  <c r="T14" i="2"/>
  <c r="AD11" i="1"/>
  <c r="Q13" i="1"/>
  <c r="R14" i="1"/>
  <c r="Y12" i="1"/>
  <c r="AH12" i="1" s="1"/>
  <c r="AA12" i="1" s="1"/>
  <c r="AC12" i="1" s="1"/>
  <c r="AB13" i="1" s="1"/>
  <c r="W12" i="1"/>
  <c r="V13" i="1"/>
  <c r="V16" i="2" l="1"/>
  <c r="S17" i="2" s="1"/>
  <c r="T15" i="2"/>
  <c r="AD12" i="1"/>
  <c r="R15" i="1"/>
  <c r="Y13" i="1"/>
  <c r="AH13" i="1" s="1"/>
  <c r="AA13" i="1" s="1"/>
  <c r="AC13" i="1" s="1"/>
  <c r="AB14" i="1" s="1"/>
  <c r="W13" i="1"/>
  <c r="Q14" i="1"/>
  <c r="V14" i="1"/>
  <c r="T16" i="2" l="1"/>
  <c r="V17" i="2"/>
  <c r="S18" i="2" s="1"/>
  <c r="AD13" i="1"/>
  <c r="R16" i="1"/>
  <c r="Y14" i="1"/>
  <c r="AH14" i="1" s="1"/>
  <c r="AA14" i="1" s="1"/>
  <c r="AC14" i="1" s="1"/>
  <c r="AB15" i="1" s="1"/>
  <c r="Q15" i="1"/>
  <c r="W14" i="1"/>
  <c r="V15" i="1"/>
  <c r="V18" i="2" l="1"/>
  <c r="S19" i="2" s="1"/>
  <c r="T17" i="2"/>
  <c r="AD14" i="1"/>
  <c r="R17" i="1"/>
  <c r="W15" i="1"/>
  <c r="Q16" i="1"/>
  <c r="Y15" i="1"/>
  <c r="AH15" i="1" s="1"/>
  <c r="AA15" i="1" s="1"/>
  <c r="AC15" i="1" s="1"/>
  <c r="AB16" i="1" s="1"/>
  <c r="V16" i="1"/>
  <c r="V19" i="2" l="1"/>
  <c r="S20" i="2"/>
  <c r="T18" i="2"/>
  <c r="AD15" i="1"/>
  <c r="Y16" i="1"/>
  <c r="AH16" i="1" s="1"/>
  <c r="AA16" i="1" s="1"/>
  <c r="AC16" i="1" s="1"/>
  <c r="AB17" i="1" s="1"/>
  <c r="R18" i="1"/>
  <c r="W16" i="1"/>
  <c r="Q17" i="1"/>
  <c r="V17" i="1"/>
  <c r="V20" i="2" l="1"/>
  <c r="T19" i="2"/>
  <c r="S21" i="2"/>
  <c r="AD16" i="1"/>
  <c r="Q18" i="1"/>
  <c r="R19" i="1"/>
  <c r="Y17" i="1"/>
  <c r="AH17" i="1" s="1"/>
  <c r="AA17" i="1" s="1"/>
  <c r="AC17" i="1" s="1"/>
  <c r="AB18" i="1" s="1"/>
  <c r="W17" i="1"/>
  <c r="V18" i="1"/>
  <c r="V21" i="2" l="1"/>
  <c r="S22" i="2" s="1"/>
  <c r="T20" i="2"/>
  <c r="AD17" i="1"/>
  <c r="R20" i="1"/>
  <c r="W18" i="1"/>
  <c r="Y18" i="1"/>
  <c r="AH18" i="1" s="1"/>
  <c r="AA18" i="1" s="1"/>
  <c r="AC18" i="1" s="1"/>
  <c r="AB19" i="1" s="1"/>
  <c r="Q19" i="1"/>
  <c r="V19" i="1"/>
  <c r="V22" i="2" l="1"/>
  <c r="S23" i="2" s="1"/>
  <c r="T21" i="2"/>
  <c r="AD18" i="1"/>
  <c r="R21" i="1"/>
  <c r="Y19" i="1"/>
  <c r="AH19" i="1" s="1"/>
  <c r="AA19" i="1" s="1"/>
  <c r="AC19" i="1" s="1"/>
  <c r="AB20" i="1" s="1"/>
  <c r="Q20" i="1"/>
  <c r="W19" i="1"/>
  <c r="V20" i="1"/>
  <c r="T22" i="2" l="1"/>
  <c r="V23" i="2"/>
  <c r="S24" i="2" s="1"/>
  <c r="AD19" i="1"/>
  <c r="Q21" i="1"/>
  <c r="R22" i="1"/>
  <c r="Y20" i="1"/>
  <c r="AH20" i="1" s="1"/>
  <c r="AA20" i="1" s="1"/>
  <c r="AC20" i="1" s="1"/>
  <c r="AB21" i="1" s="1"/>
  <c r="W20" i="1"/>
  <c r="V21" i="1"/>
  <c r="V24" i="2" l="1"/>
  <c r="S25" i="2" s="1"/>
  <c r="T23" i="2"/>
  <c r="AD20" i="1"/>
  <c r="R23" i="1"/>
  <c r="Y21" i="1"/>
  <c r="AH21" i="1" s="1"/>
  <c r="AA21" i="1" s="1"/>
  <c r="AC21" i="1" s="1"/>
  <c r="AB22" i="1" s="1"/>
  <c r="W21" i="1"/>
  <c r="Q22" i="1"/>
  <c r="V22" i="1"/>
  <c r="T24" i="2" l="1"/>
  <c r="V25" i="2"/>
  <c r="S26" i="2" s="1"/>
  <c r="AD21" i="1"/>
  <c r="R24" i="1"/>
  <c r="W22" i="1"/>
  <c r="Y22" i="1"/>
  <c r="AH22" i="1" s="1"/>
  <c r="AA22" i="1" s="1"/>
  <c r="AC22" i="1" s="1"/>
  <c r="AB23" i="1" s="1"/>
  <c r="V23" i="1"/>
  <c r="Q23" i="1"/>
  <c r="V26" i="2" l="1"/>
  <c r="T25" i="2"/>
  <c r="S27" i="2"/>
  <c r="AD22" i="1"/>
  <c r="R25" i="1"/>
  <c r="Q24" i="1"/>
  <c r="W23" i="1"/>
  <c r="V24" i="1"/>
  <c r="Y23" i="1"/>
  <c r="AH23" i="1" s="1"/>
  <c r="AA23" i="1" s="1"/>
  <c r="AC23" i="1" s="1"/>
  <c r="AB24" i="1" s="1"/>
  <c r="V27" i="2" l="1"/>
  <c r="T26" i="2"/>
  <c r="S28" i="2"/>
  <c r="AD23" i="1"/>
  <c r="W24" i="1"/>
  <c r="Y24" i="1"/>
  <c r="AH24" i="1" s="1"/>
  <c r="AA24" i="1" s="1"/>
  <c r="AC24" i="1" s="1"/>
  <c r="AB25" i="1" s="1"/>
  <c r="V25" i="1"/>
  <c r="V28" i="2" l="1"/>
  <c r="T28" i="2" s="1"/>
  <c r="T27" i="2"/>
  <c r="U24" i="2"/>
  <c r="W24" i="2" s="1"/>
  <c r="U22" i="2"/>
  <c r="W22" i="2" s="1"/>
  <c r="U20" i="2"/>
  <c r="W20" i="2" s="1"/>
  <c r="AD24" i="1"/>
  <c r="AC25" i="1"/>
  <c r="AD25" i="1" s="1"/>
  <c r="AE23" i="1"/>
  <c r="AF23" i="1" s="1"/>
  <c r="AE19" i="1"/>
  <c r="AF19" i="1" s="1"/>
  <c r="AE21" i="1"/>
  <c r="AF21" i="1" s="1"/>
  <c r="AE17" i="1"/>
  <c r="AF17" i="1" s="1"/>
  <c r="AE20" i="1"/>
  <c r="AF20" i="1" s="1"/>
  <c r="U27" i="2" l="1"/>
  <c r="W27" i="2" s="1"/>
  <c r="U25" i="2"/>
  <c r="W25" i="2" s="1"/>
  <c r="U23" i="2"/>
  <c r="W23" i="2" s="1"/>
  <c r="U21" i="2"/>
  <c r="W21" i="2" s="1"/>
  <c r="U26" i="2"/>
  <c r="W26" i="2" s="1"/>
  <c r="U28" i="2"/>
  <c r="W28" i="2" s="1"/>
  <c r="U7" i="2"/>
  <c r="W7" i="2" s="1"/>
  <c r="Y7" i="2" s="1"/>
  <c r="Z8" i="2" s="1"/>
  <c r="U8" i="2"/>
  <c r="W8" i="2" s="1"/>
  <c r="U9" i="2"/>
  <c r="W9" i="2" s="1"/>
  <c r="U11" i="2"/>
  <c r="W11" i="2" s="1"/>
  <c r="U10" i="2"/>
  <c r="W10" i="2" s="1"/>
  <c r="U12" i="2"/>
  <c r="W12" i="2" s="1"/>
  <c r="U13" i="2"/>
  <c r="W13" i="2" s="1"/>
  <c r="U14" i="2"/>
  <c r="W14" i="2" s="1"/>
  <c r="U15" i="2"/>
  <c r="W15" i="2" s="1"/>
  <c r="U16" i="2"/>
  <c r="W16" i="2" s="1"/>
  <c r="U17" i="2"/>
  <c r="W17" i="2" s="1"/>
  <c r="U18" i="2"/>
  <c r="W18" i="2" s="1"/>
  <c r="U19" i="2"/>
  <c r="W19" i="2" s="1"/>
  <c r="AE25" i="1"/>
  <c r="AF25" i="1" s="1"/>
  <c r="AE4" i="1"/>
  <c r="AF4" i="1" s="1"/>
  <c r="AE5" i="1"/>
  <c r="AF5" i="1" s="1"/>
  <c r="AE6" i="1"/>
  <c r="AF6" i="1" s="1"/>
  <c r="AE7" i="1"/>
  <c r="AF7" i="1" s="1"/>
  <c r="AE8" i="1"/>
  <c r="AF8" i="1" s="1"/>
  <c r="AE9" i="1"/>
  <c r="AF9" i="1" s="1"/>
  <c r="AE10" i="1"/>
  <c r="AF10" i="1" s="1"/>
  <c r="AE11" i="1"/>
  <c r="AF11" i="1" s="1"/>
  <c r="AE15" i="1"/>
  <c r="AF15" i="1" s="1"/>
  <c r="AE12" i="1"/>
  <c r="AF12" i="1" s="1"/>
  <c r="AE13" i="1"/>
  <c r="AF13" i="1" s="1"/>
  <c r="AE16" i="1"/>
  <c r="AF16" i="1" s="1"/>
  <c r="AE14" i="1"/>
  <c r="AF14" i="1" s="1"/>
  <c r="AE24" i="1"/>
  <c r="AF24" i="1" s="1"/>
  <c r="AE22" i="1"/>
  <c r="AF22" i="1" s="1"/>
  <c r="AE18" i="1"/>
  <c r="AF18" i="1" s="1"/>
</calcChain>
</file>

<file path=xl/sharedStrings.xml><?xml version="1.0" encoding="utf-8"?>
<sst xmlns="http://schemas.openxmlformats.org/spreadsheetml/2006/main" count="289" uniqueCount="169">
  <si>
    <t>100 and over</t>
  </si>
  <si>
    <t>Age (years)</t>
  </si>
  <si>
    <t>Table 2. Life table for males: United States, 2019</t>
  </si>
  <si>
    <t>SOURCE: National Center for Health Statistics, National Vital Statistics System, Mortality.</t>
  </si>
  <si>
    <r>
      <t xml:space="preserve">Probability of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</si>
  <si>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Number surviving to age </t>
    </r>
    <r>
      <rPr>
        <i/>
        <sz val="8"/>
        <rFont val="Arial"/>
        <family val="2"/>
      </rPr>
      <t>x</t>
    </r>
  </si>
  <si>
    <r>
      <t xml:space="preserve">Number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</si>
  <si>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Expectation of life at age </t>
    </r>
    <r>
      <rPr>
        <i/>
        <sz val="8"/>
        <rFont val="Arial"/>
        <family val="2"/>
      </rPr>
      <t>x</t>
    </r>
  </si>
  <si>
    <r>
      <t>q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</si>
  <si>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</si>
  <si>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d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</si>
  <si>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</si>
  <si>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T</t>
    </r>
    <r>
      <rPr>
        <i/>
        <vertAlign val="subscript"/>
        <sz val="8"/>
        <rFont val="Arial"/>
        <family val="2"/>
      </rPr>
      <t>x</t>
    </r>
  </si>
  <si>
    <r>
      <t>e</t>
    </r>
    <r>
      <rPr>
        <i/>
        <vertAlign val="subscript"/>
        <sz val="8"/>
        <rFont val="Arial"/>
        <family val="2"/>
      </rPr>
      <t>x</t>
    </r>
  </si>
  <si>
    <t>0–1</t>
  </si>
  <si>
    <t>1–2</t>
  </si>
  <si>
    <t>2–3</t>
  </si>
  <si>
    <t>3–4</t>
  </si>
  <si>
    <t>4–5</t>
  </si>
  <si>
    <t>5–6</t>
  </si>
  <si>
    <t>6–7</t>
  </si>
  <si>
    <t>7–8</t>
  </si>
  <si>
    <t>8–9</t>
  </si>
  <si>
    <t>9–10</t>
  </si>
  <si>
    <t>10–11</t>
  </si>
  <si>
    <t>11–12</t>
  </si>
  <si>
    <t>12–13</t>
  </si>
  <si>
    <t>13–14</t>
  </si>
  <si>
    <t>14–15</t>
  </si>
  <si>
    <t>15–16</t>
  </si>
  <si>
    <t>16–17</t>
  </si>
  <si>
    <t>17–18</t>
  </si>
  <si>
    <t>18–19</t>
  </si>
  <si>
    <t>19–20</t>
  </si>
  <si>
    <t>20–21</t>
  </si>
  <si>
    <t>21–22</t>
  </si>
  <si>
    <t>22–23</t>
  </si>
  <si>
    <t>23–24</t>
  </si>
  <si>
    <t>24–25</t>
  </si>
  <si>
    <t>25–26</t>
  </si>
  <si>
    <t>26–27</t>
  </si>
  <si>
    <t>27–28</t>
  </si>
  <si>
    <t>28–29</t>
  </si>
  <si>
    <t>29–30</t>
  </si>
  <si>
    <t>30–31</t>
  </si>
  <si>
    <t>31–32</t>
  </si>
  <si>
    <t>32–33</t>
  </si>
  <si>
    <t>33–34</t>
  </si>
  <si>
    <t>34–35</t>
  </si>
  <si>
    <t>35–36</t>
  </si>
  <si>
    <t>36–37</t>
  </si>
  <si>
    <t>37–38</t>
  </si>
  <si>
    <t>38–39</t>
  </si>
  <si>
    <t>39–40</t>
  </si>
  <si>
    <t>40–41</t>
  </si>
  <si>
    <t>41–42</t>
  </si>
  <si>
    <t>42–43</t>
  </si>
  <si>
    <t>43–44</t>
  </si>
  <si>
    <t>44–45</t>
  </si>
  <si>
    <t>45–46</t>
  </si>
  <si>
    <t>46–47</t>
  </si>
  <si>
    <t>47–48</t>
  </si>
  <si>
    <t>48–49</t>
  </si>
  <si>
    <t>49–50</t>
  </si>
  <si>
    <t>50–51</t>
  </si>
  <si>
    <t>51–52</t>
  </si>
  <si>
    <t>52–53</t>
  </si>
  <si>
    <t>53–54</t>
  </si>
  <si>
    <t>54–55</t>
  </si>
  <si>
    <t>55–56</t>
  </si>
  <si>
    <t>56–57</t>
  </si>
  <si>
    <t>57–58</t>
  </si>
  <si>
    <t>58–59</t>
  </si>
  <si>
    <t>59–60</t>
  </si>
  <si>
    <t>60–61</t>
  </si>
  <si>
    <t>61–62</t>
  </si>
  <si>
    <t>62–63</t>
  </si>
  <si>
    <t>63–64</t>
  </si>
  <si>
    <t>64–65</t>
  </si>
  <si>
    <t>65–66</t>
  </si>
  <si>
    <t>66–67</t>
  </si>
  <si>
    <t>67–68</t>
  </si>
  <si>
    <t>68–69</t>
  </si>
  <si>
    <t>69–70</t>
  </si>
  <si>
    <t>70–71</t>
  </si>
  <si>
    <t>71–72</t>
  </si>
  <si>
    <t>72–73</t>
  </si>
  <si>
    <t>73–74</t>
  </si>
  <si>
    <t>74–75</t>
  </si>
  <si>
    <t>75–76</t>
  </si>
  <si>
    <t>76–77</t>
  </si>
  <si>
    <t>77–78</t>
  </si>
  <si>
    <t>78–79</t>
  </si>
  <si>
    <t>79–80</t>
  </si>
  <si>
    <t>80–81</t>
  </si>
  <si>
    <t>81–82</t>
  </si>
  <si>
    <t>82–83</t>
  </si>
  <si>
    <t>83–84</t>
  </si>
  <si>
    <t>84–85</t>
  </si>
  <si>
    <t>85–86</t>
  </si>
  <si>
    <t>86–87</t>
  </si>
  <si>
    <t>87–88</t>
  </si>
  <si>
    <t>88–89</t>
  </si>
  <si>
    <t>89–90</t>
  </si>
  <si>
    <t>90–91</t>
  </si>
  <si>
    <t>91–92</t>
  </si>
  <si>
    <t>92–93</t>
  </si>
  <si>
    <t>93–94</t>
  </si>
  <si>
    <t>94–95</t>
  </si>
  <si>
    <t>95–96</t>
  </si>
  <si>
    <t>96–97</t>
  </si>
  <si>
    <t>97–98</t>
  </si>
  <si>
    <t>98–99</t>
  </si>
  <si>
    <t>99–100</t>
  </si>
  <si>
    <t>Person-years lived between ages x and x + 1</t>
  </si>
  <si>
    <t>Total number of person-years lived above age x</t>
  </si>
  <si>
    <t>Sinle Year</t>
  </si>
  <si>
    <t>5-yr Decrement</t>
  </si>
  <si>
    <t>Abridged Calc</t>
  </si>
  <si>
    <t>mx</t>
  </si>
  <si>
    <t>deaths</t>
  </si>
  <si>
    <t>Lx</t>
  </si>
  <si>
    <t>5yr Age</t>
  </si>
  <si>
    <t>qx</t>
  </si>
  <si>
    <t>lx</t>
  </si>
  <si>
    <t>dx</t>
  </si>
  <si>
    <t>Tx</t>
  </si>
  <si>
    <t>ex</t>
  </si>
  <si>
    <t>estimate ax</t>
  </si>
  <si>
    <t>Est ax</t>
  </si>
  <si>
    <t>0</t>
  </si>
  <si>
    <t>1-4</t>
  </si>
  <si>
    <t>5-9</t>
  </si>
  <si>
    <t>10</t>
  </si>
  <si>
    <t>15</t>
  </si>
  <si>
    <t>20</t>
  </si>
  <si>
    <t>25</t>
  </si>
  <si>
    <t>30</t>
  </si>
  <si>
    <t>35</t>
  </si>
  <si>
    <t>40</t>
  </si>
  <si>
    <t>45</t>
  </si>
  <si>
    <t>50</t>
  </si>
  <si>
    <t>55</t>
  </si>
  <si>
    <t>60</t>
  </si>
  <si>
    <t>65</t>
  </si>
  <si>
    <t>70</t>
  </si>
  <si>
    <t>75</t>
  </si>
  <si>
    <t>80</t>
  </si>
  <si>
    <t>85</t>
  </si>
  <si>
    <t>90</t>
  </si>
  <si>
    <t>95</t>
  </si>
  <si>
    <t>100+</t>
  </si>
  <si>
    <t xml:space="preserve">85+ </t>
  </si>
  <si>
    <t>2020 Life Table, Estimated from 2019 Life Table X RR</t>
  </si>
  <si>
    <t>Arias et al. 2022</t>
  </si>
  <si>
    <t>Abridged 5yr</t>
  </si>
  <si>
    <t>2020 Est</t>
  </si>
  <si>
    <t>100</t>
  </si>
  <si>
    <t>rr2019</t>
  </si>
  <si>
    <t>age</t>
  </si>
  <si>
    <t>qx_LB</t>
  </si>
  <si>
    <t>qx_UB</t>
  </si>
  <si>
    <t>ax</t>
  </si>
  <si>
    <t>ax_lb</t>
  </si>
  <si>
    <t>ax_ub</t>
  </si>
  <si>
    <t>2019 mx</t>
  </si>
  <si>
    <t>Calculated from Mx and ax derived here to verify</t>
  </si>
  <si>
    <t>(source: Restricted Access MCOD Mort Files + Census Pop)</t>
  </si>
  <si>
    <t>10% uncertainty added to qx and 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</si>
</sst>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"/>
    <numFmt numFmtId="166" formatCode="#,##0.000000"/>
  </numFmts>
  <fonts count="1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Courier New"/>
      <family val="3"/>
    </font>
    <font>
      <sz val="8"/>
      <color rgb="FF000000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i/>
      <vertAlign val="subscript"/>
      <sz val="8"/>
      <name val="Arial"/>
      <family val="2"/>
    </font>
    <font>
      <i/>
      <sz val="10"/>
      <name val="Courier New"/>
      <family val="3"/>
    </font>
    <font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" fontId="1" fillId="0" borderId="0"/>
  </cellStyleXfs>
  <cellXfs count="52">
    <xf numFmtId="0" fontId="0" fillId="0" borderId="0" xfId="0"/>
    <xf numFmtId="0" fontId="2" fillId="0" borderId="0" xfId="0" applyFont="1"/>
    <xf numFmtId="164" fontId="5" fillId="0" borderId="1" xfId="1" applyNumberFormat="1" applyFont="1" applyBorder="1" applyAlignment="1">
      <alignment horizontal="center" wrapText="1"/>
    </xf>
    <xf numFmtId="3" fontId="5" fillId="0" borderId="2" xfId="1" applyFont="1" applyBorder="1" applyAlignment="1">
      <alignment horizontal="center" wrapText="1"/>
    </xf>
    <xf numFmtId="3" fontId="5" fillId="0" borderId="9" xfId="1" applyFont="1" applyBorder="1" applyAlignment="1">
      <alignment horizontal="center" wrapText="1"/>
    </xf>
    <xf numFmtId="164" fontId="6" fillId="0" borderId="5" xfId="1" applyNumberFormat="1" applyFont="1" applyBorder="1" applyAlignment="1">
      <alignment horizontal="center"/>
    </xf>
    <xf numFmtId="3" fontId="6" fillId="0" borderId="6" xfId="1" applyFont="1" applyBorder="1" applyAlignment="1">
      <alignment horizontal="center"/>
    </xf>
    <xf numFmtId="3" fontId="6" fillId="0" borderId="7" xfId="1" applyFont="1" applyBorder="1" applyAlignment="1">
      <alignment horizontal="center"/>
    </xf>
    <xf numFmtId="0" fontId="4" fillId="0" borderId="3" xfId="0" applyFont="1" applyBorder="1"/>
    <xf numFmtId="164" fontId="4" fillId="0" borderId="0" xfId="0" applyNumberFormat="1" applyFont="1"/>
    <xf numFmtId="3" fontId="4" fillId="0" borderId="0" xfId="0" applyNumberFormat="1" applyFont="1"/>
    <xf numFmtId="165" fontId="4" fillId="0" borderId="9" xfId="0" applyNumberFormat="1" applyFont="1" applyBorder="1"/>
    <xf numFmtId="16" fontId="4" fillId="0" borderId="3" xfId="0" quotePrefix="1" applyNumberFormat="1" applyFont="1" applyBorder="1"/>
    <xf numFmtId="165" fontId="4" fillId="0" borderId="11" xfId="0" applyNumberFormat="1" applyFont="1" applyBorder="1"/>
    <xf numFmtId="16" fontId="4" fillId="0" borderId="4" xfId="0" applyNumberFormat="1" applyFont="1" applyBorder="1"/>
    <xf numFmtId="164" fontId="4" fillId="0" borderId="8" xfId="0" applyNumberFormat="1" applyFont="1" applyBorder="1"/>
    <xf numFmtId="3" fontId="4" fillId="0" borderId="8" xfId="0" applyNumberFormat="1" applyFont="1" applyBorder="1"/>
    <xf numFmtId="165" fontId="4" fillId="0" borderId="12" xfId="0" applyNumberFormat="1" applyFont="1" applyBorder="1"/>
    <xf numFmtId="3" fontId="5" fillId="0" borderId="0" xfId="1" applyFont="1" applyAlignment="1">
      <alignment horizontal="center" wrapText="1"/>
    </xf>
    <xf numFmtId="3" fontId="6" fillId="0" borderId="0" xfId="1" applyFont="1" applyAlignment="1">
      <alignment horizontal="center"/>
    </xf>
    <xf numFmtId="0" fontId="0" fillId="2" borderId="0" xfId="0" applyFill="1"/>
    <xf numFmtId="3" fontId="8" fillId="0" borderId="0" xfId="1" applyFont="1" applyAlignment="1">
      <alignment horizontal="center"/>
    </xf>
    <xf numFmtId="3" fontId="8" fillId="3" borderId="0" xfId="1" applyFont="1" applyFill="1" applyAlignment="1">
      <alignment horizontal="center"/>
    </xf>
    <xf numFmtId="3" fontId="0" fillId="0" borderId="0" xfId="0" applyNumberFormat="1"/>
    <xf numFmtId="49" fontId="2" fillId="0" borderId="0" xfId="0" applyNumberFormat="1" applyFont="1"/>
    <xf numFmtId="166" fontId="0" fillId="0" borderId="0" xfId="0" applyNumberFormat="1"/>
    <xf numFmtId="3" fontId="2" fillId="0" borderId="0" xfId="0" applyNumberFormat="1" applyFont="1"/>
    <xf numFmtId="2" fontId="0" fillId="4" borderId="0" xfId="0" applyNumberFormat="1" applyFill="1"/>
    <xf numFmtId="0" fontId="0" fillId="3" borderId="0" xfId="0" applyFill="1"/>
    <xf numFmtId="49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5" borderId="0" xfId="0" applyFill="1"/>
    <xf numFmtId="0" fontId="0" fillId="6" borderId="0" xfId="0" applyFill="1"/>
    <xf numFmtId="3" fontId="8" fillId="2" borderId="0" xfId="1" applyFont="1" applyFill="1" applyAlignment="1">
      <alignment horizontal="center"/>
    </xf>
    <xf numFmtId="0" fontId="9" fillId="7" borderId="0" xfId="0" applyFont="1" applyFill="1" applyAlignment="1">
      <alignment horizontal="right"/>
    </xf>
    <xf numFmtId="0" fontId="0" fillId="4" borderId="0" xfId="0" applyFill="1"/>
    <xf numFmtId="2" fontId="0" fillId="7" borderId="0" xfId="0" applyNumberFormat="1" applyFill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9" fontId="0" fillId="0" borderId="0" xfId="0" applyNumberFormat="1"/>
    <xf numFmtId="0" fontId="0" fillId="8" borderId="0" xfId="0" applyFill="1"/>
    <xf numFmtId="0" fontId="0" fillId="9" borderId="0" xfId="0" applyFill="1"/>
    <xf numFmtId="0" fontId="0" fillId="8" borderId="0" xfId="0" applyFill="1" applyAlignment="1">
      <alignment horizontal="right"/>
    </xf>
    <xf numFmtId="3" fontId="5" fillId="2" borderId="0" xfId="1" applyFont="1" applyFill="1" applyAlignment="1">
      <alignment horizontal="center" wrapText="1"/>
    </xf>
    <xf numFmtId="0" fontId="4" fillId="0" borderId="0" xfId="0" applyFont="1" applyAlignment="1">
      <alignment wrapText="1"/>
    </xf>
    <xf numFmtId="0" fontId="3" fillId="0" borderId="8" xfId="0" applyFont="1" applyBorder="1"/>
    <xf numFmtId="0" fontId="4" fillId="0" borderId="8" xfId="0" applyFont="1" applyBorder="1"/>
    <xf numFmtId="3" fontId="5" fillId="0" borderId="2" xfId="1" applyFont="1" applyBorder="1" applyAlignment="1">
      <alignment horizontal="center"/>
    </xf>
    <xf numFmtId="0" fontId="4" fillId="0" borderId="10" xfId="0" applyFont="1" applyBorder="1"/>
  </cellXfs>
  <cellStyles count="2">
    <cellStyle name="Normal" xfId="0" builtinId="0"/>
    <cellStyle name="Normal_Tb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AH106"/>
  <sheetViews>
    <sheetView topLeftCell="M1" zoomScaleNormal="100" workbookViewId="0">
      <selection activeCell="W5" sqref="W5"/>
    </sheetView>
  </sheetViews>
  <sheetFormatPr baseColWidth="10" defaultColWidth="9.5" defaultRowHeight="15" x14ac:dyDescent="0.2"/>
  <cols>
    <col min="1" max="2" width="14.6640625" customWidth="1"/>
    <col min="3" max="3" width="14.5" customWidth="1"/>
    <col min="4" max="4" width="16" bestFit="1" customWidth="1"/>
    <col min="5" max="5" width="17.33203125" bestFit="1" customWidth="1"/>
    <col min="6" max="6" width="13.5" customWidth="1"/>
    <col min="7" max="7" width="13.6640625" customWidth="1"/>
  </cols>
  <sheetData>
    <row r="1" spans="1:34" x14ac:dyDescent="0.2">
      <c r="A1" s="48" t="s">
        <v>2</v>
      </c>
      <c r="B1" s="49"/>
      <c r="C1" s="49"/>
      <c r="D1" s="49"/>
      <c r="E1" s="49"/>
      <c r="F1" s="49"/>
      <c r="G1" s="49"/>
      <c r="Z1" t="s">
        <v>166</v>
      </c>
    </row>
    <row r="2" spans="1:34" ht="67.5" customHeight="1" x14ac:dyDescent="0.2">
      <c r="A2" s="50" t="s">
        <v>1</v>
      </c>
      <c r="B2" s="2" t="s">
        <v>4</v>
      </c>
      <c r="C2" s="3" t="s">
        <v>5</v>
      </c>
      <c r="D2" s="3" t="s">
        <v>6</v>
      </c>
      <c r="E2" s="3" t="s">
        <v>114</v>
      </c>
      <c r="F2" s="3" t="s">
        <v>115</v>
      </c>
      <c r="G2" s="4" t="s">
        <v>7</v>
      </c>
      <c r="I2" s="18" t="s">
        <v>116</v>
      </c>
      <c r="K2" s="46" t="s">
        <v>117</v>
      </c>
      <c r="AA2" t="s">
        <v>118</v>
      </c>
    </row>
    <row r="3" spans="1:34" x14ac:dyDescent="0.2">
      <c r="A3" s="51"/>
      <c r="B3" s="5" t="s">
        <v>8</v>
      </c>
      <c r="C3" s="6" t="s">
        <v>9</v>
      </c>
      <c r="D3" s="6" t="s">
        <v>10</v>
      </c>
      <c r="E3" s="6" t="s">
        <v>11</v>
      </c>
      <c r="F3" s="6" t="s">
        <v>12</v>
      </c>
      <c r="G3" s="7" t="s">
        <v>13</v>
      </c>
      <c r="I3" s="19" t="s">
        <v>119</v>
      </c>
      <c r="L3" t="s">
        <v>120</v>
      </c>
      <c r="M3" t="s">
        <v>121</v>
      </c>
      <c r="N3" s="20" t="s">
        <v>119</v>
      </c>
      <c r="P3" s="21" t="s">
        <v>122</v>
      </c>
      <c r="Q3" s="21" t="s">
        <v>123</v>
      </c>
      <c r="R3" s="21" t="s">
        <v>124</v>
      </c>
      <c r="S3" s="21" t="s">
        <v>125</v>
      </c>
      <c r="T3" s="21" t="s">
        <v>121</v>
      </c>
      <c r="U3" s="21" t="s">
        <v>126</v>
      </c>
      <c r="V3" s="21" t="s">
        <v>127</v>
      </c>
      <c r="W3" s="21" t="s">
        <v>128</v>
      </c>
      <c r="X3" s="20" t="s">
        <v>119</v>
      </c>
      <c r="Y3" s="22" t="s">
        <v>129</v>
      </c>
      <c r="Z3" s="21" t="s">
        <v>122</v>
      </c>
      <c r="AA3" s="21" t="s">
        <v>123</v>
      </c>
      <c r="AB3" s="21" t="s">
        <v>124</v>
      </c>
      <c r="AC3" s="21" t="s">
        <v>125</v>
      </c>
      <c r="AD3" s="21" t="s">
        <v>121</v>
      </c>
      <c r="AE3" s="21" t="s">
        <v>126</v>
      </c>
      <c r="AF3" s="21" t="s">
        <v>127</v>
      </c>
      <c r="AG3" t="s">
        <v>119</v>
      </c>
      <c r="AH3" s="21" t="s">
        <v>128</v>
      </c>
    </row>
    <row r="4" spans="1:34" x14ac:dyDescent="0.2">
      <c r="A4" s="8" t="s">
        <v>14</v>
      </c>
      <c r="B4" s="9">
        <v>6.0803303495049477E-3</v>
      </c>
      <c r="C4" s="10">
        <v>100000</v>
      </c>
      <c r="D4" s="10">
        <v>608.03302001953125</v>
      </c>
      <c r="E4" s="10">
        <v>99470.40625</v>
      </c>
      <c r="F4" s="10">
        <v>7631130</v>
      </c>
      <c r="G4" s="11">
        <v>76.311302185058594</v>
      </c>
      <c r="I4">
        <f>D4/E4</f>
        <v>6.1127026916061407E-3</v>
      </c>
      <c r="K4">
        <v>0</v>
      </c>
      <c r="L4" s="23">
        <f>D4</f>
        <v>608.03302001953125</v>
      </c>
      <c r="M4" s="23">
        <f>SUM(E4)</f>
        <v>99470.40625</v>
      </c>
      <c r="N4" s="20">
        <f>L4/M4</f>
        <v>6.1127026916061407E-3</v>
      </c>
      <c r="P4" s="24" t="s">
        <v>130</v>
      </c>
      <c r="Q4" s="25">
        <f>B4</f>
        <v>6.0803303495049477E-3</v>
      </c>
      <c r="R4" s="26">
        <v>100000</v>
      </c>
      <c r="S4" s="23">
        <f>D4</f>
        <v>608.03302001953125</v>
      </c>
      <c r="T4" s="23">
        <f>E4</f>
        <v>99470.40625</v>
      </c>
      <c r="U4" s="23">
        <f>SUM(T4:T25)</f>
        <v>7631130.0256347656</v>
      </c>
      <c r="V4" s="27">
        <f>U4/R4</f>
        <v>76.31130025634765</v>
      </c>
      <c r="W4">
        <f>(T4-R5*1)/S4</f>
        <v>0.1290049511077731</v>
      </c>
      <c r="X4" s="20">
        <f>N4</f>
        <v>6.1127026916061407E-3</v>
      </c>
      <c r="Y4" s="28">
        <f>(T4-R5*1)/S4</f>
        <v>0.1290049511077731</v>
      </c>
      <c r="Z4" s="24" t="s">
        <v>130</v>
      </c>
      <c r="AA4" s="25">
        <f>(AG4)/(1+(1-AH4)*AG4)</f>
        <v>6.0803302001953127E-3</v>
      </c>
      <c r="AB4" s="26">
        <v>100000</v>
      </c>
      <c r="AC4" s="23">
        <f>AA4*AB4</f>
        <v>608.03302001953125</v>
      </c>
      <c r="AD4" s="23">
        <f>AB5+AC4*AH4</f>
        <v>99470.40625</v>
      </c>
      <c r="AE4" s="23">
        <f>SUM(AD4:AD25)</f>
        <v>7631130.0074498178</v>
      </c>
      <c r="AF4" s="27">
        <f>AE4/AB4</f>
        <v>76.311300074498178</v>
      </c>
      <c r="AG4">
        <f t="shared" ref="AG4:AH25" si="0">X4</f>
        <v>6.1127026916061407E-3</v>
      </c>
      <c r="AH4">
        <f>Y4</f>
        <v>0.1290049511077731</v>
      </c>
    </row>
    <row r="5" spans="1:34" x14ac:dyDescent="0.2">
      <c r="A5" s="12" t="s">
        <v>15</v>
      </c>
      <c r="B5" s="9">
        <v>4.1495036566630006E-4</v>
      </c>
      <c r="C5" s="10">
        <v>99391.96875</v>
      </c>
      <c r="D5" s="10">
        <v>41.242733001708984</v>
      </c>
      <c r="E5" s="10">
        <v>99371.34375</v>
      </c>
      <c r="F5" s="10">
        <v>7531659.5</v>
      </c>
      <c r="G5" s="13">
        <v>75.77734375</v>
      </c>
      <c r="I5">
        <f t="shared" ref="I5:I68" si="1">D5/E5</f>
        <v>4.150364828060301E-4</v>
      </c>
      <c r="K5">
        <v>1</v>
      </c>
      <c r="L5" s="23">
        <f>SUM(D5:D8)</f>
        <v>101.15337944030762</v>
      </c>
      <c r="M5" s="23">
        <f>SUM(E5:E8)</f>
        <v>397323.3515625</v>
      </c>
      <c r="N5" s="20">
        <f>L5/M5</f>
        <v>2.5458704866581679E-4</v>
      </c>
      <c r="P5" s="29" t="s">
        <v>131</v>
      </c>
      <c r="Q5" s="25">
        <f>S5/R5</f>
        <v>1.017721879482292E-3</v>
      </c>
      <c r="R5" s="23">
        <f>R4-S4</f>
        <v>99391.966979980469</v>
      </c>
      <c r="S5" s="23">
        <f>SUM(D5:D8)</f>
        <v>101.15337944030762</v>
      </c>
      <c r="T5" s="23">
        <f>SUM(E5:E8)</f>
        <v>397323.3515625</v>
      </c>
      <c r="U5" s="23">
        <f t="shared" ref="U5:U25" si="2">SUM(T5:T26)</f>
        <v>7531659.6193847656</v>
      </c>
      <c r="V5" s="30">
        <f t="shared" ref="V5:V25" si="3">U5/R5</f>
        <v>75.777347488271289</v>
      </c>
      <c r="W5">
        <f>(T5-R6*4)/S5</f>
        <v>1.5827168723891387</v>
      </c>
      <c r="X5" s="20">
        <f t="shared" ref="X5:X25" si="4">N5</f>
        <v>2.5458704866581679E-4</v>
      </c>
      <c r="Y5" s="28">
        <f>(T5-R6*4)/S5</f>
        <v>1.5827168723891387</v>
      </c>
      <c r="Z5" s="29" t="s">
        <v>131</v>
      </c>
      <c r="AA5" s="25">
        <f>(AG5*4)/(1+(4-AH5)*AG5)</f>
        <v>1.017721879482292E-3</v>
      </c>
      <c r="AB5" s="23">
        <f>AB4-AC4</f>
        <v>99391.966979980469</v>
      </c>
      <c r="AC5" s="23">
        <f t="shared" ref="AC5:AC25" si="5">AA5*AB5</f>
        <v>101.15337944030763</v>
      </c>
      <c r="AD5" s="23">
        <f>AB6*4+AC5*AH5</f>
        <v>397323.3515625</v>
      </c>
      <c r="AE5" s="23">
        <f t="shared" ref="AE5:AE25" si="6">SUM(AD5:AD26)</f>
        <v>7531659.6011998178</v>
      </c>
      <c r="AF5" s="30">
        <f t="shared" ref="AF5:AF25" si="7">AE5/AB5</f>
        <v>75.777347305309334</v>
      </c>
      <c r="AG5">
        <f t="shared" si="0"/>
        <v>2.5458704866581679E-4</v>
      </c>
      <c r="AH5">
        <f t="shared" si="0"/>
        <v>1.5827168723891387</v>
      </c>
    </row>
    <row r="6" spans="1:34" x14ac:dyDescent="0.2">
      <c r="A6" s="12" t="s">
        <v>16</v>
      </c>
      <c r="B6" s="9">
        <v>2.5683391140773892E-4</v>
      </c>
      <c r="C6" s="10">
        <v>99350.7265625</v>
      </c>
      <c r="D6" s="10">
        <v>25.516635894775391</v>
      </c>
      <c r="E6" s="10">
        <v>99337.96875</v>
      </c>
      <c r="F6" s="10">
        <v>7432288.5</v>
      </c>
      <c r="G6" s="13">
        <v>74.80859375</v>
      </c>
      <c r="I6">
        <f t="shared" si="1"/>
        <v>2.5686689808397548E-4</v>
      </c>
      <c r="K6">
        <v>5</v>
      </c>
      <c r="L6" s="23">
        <f>SUM(D9:D13)</f>
        <v>62.094274520874023</v>
      </c>
      <c r="M6" s="23">
        <f>SUM(E9:E13)</f>
        <v>496287.078125</v>
      </c>
      <c r="N6" s="20">
        <f t="shared" ref="N6:N23" si="8">L6/M6</f>
        <v>1.2511765318466405E-4</v>
      </c>
      <c r="P6" s="29" t="s">
        <v>132</v>
      </c>
      <c r="Q6" s="25">
        <f t="shared" ref="Q6:Q23" si="9">S6/R6</f>
        <v>6.2537783979379352E-4</v>
      </c>
      <c r="R6" s="23">
        <f t="shared" ref="R6:R25" si="10">R5-S5</f>
        <v>99290.813600540161</v>
      </c>
      <c r="S6" s="23">
        <f>SUM(D9:D13)</f>
        <v>62.094274520874023</v>
      </c>
      <c r="T6" s="23">
        <f>SUM(E9:E13)</f>
        <v>496287.078125</v>
      </c>
      <c r="U6" s="23">
        <f t="shared" si="2"/>
        <v>7134336.2678222656</v>
      </c>
      <c r="V6" s="30">
        <f t="shared" si="3"/>
        <v>71.852933913147567</v>
      </c>
      <c r="W6">
        <f>(T6-R7*5)/S6</f>
        <v>2.310704102925476</v>
      </c>
      <c r="X6" s="20">
        <f t="shared" si="4"/>
        <v>1.2511765318466405E-4</v>
      </c>
      <c r="Y6" s="28">
        <f>(T6-R7*5)/S6</f>
        <v>2.310704102925476</v>
      </c>
      <c r="Z6" s="29" t="s">
        <v>132</v>
      </c>
      <c r="AA6" s="25">
        <f>(AG6*5)/(1+(5-AH6)*AG6)</f>
        <v>6.2537783979379352E-4</v>
      </c>
      <c r="AB6" s="23">
        <f t="shared" ref="AB6:AB25" si="11">AB5-AC5</f>
        <v>99290.813600540161</v>
      </c>
      <c r="AC6" s="23">
        <f t="shared" si="5"/>
        <v>62.094274520874016</v>
      </c>
      <c r="AD6" s="23">
        <f>AB7*5+AC6*AH6</f>
        <v>496287.078125</v>
      </c>
      <c r="AE6" s="23">
        <f t="shared" si="6"/>
        <v>7134336.2496373178</v>
      </c>
      <c r="AF6" s="30">
        <f t="shared" si="7"/>
        <v>71.852933729999222</v>
      </c>
      <c r="AG6">
        <f t="shared" si="0"/>
        <v>1.2511765318466405E-4</v>
      </c>
      <c r="AH6">
        <f t="shared" si="0"/>
        <v>2.310704102925476</v>
      </c>
    </row>
    <row r="7" spans="1:34" x14ac:dyDescent="0.2">
      <c r="A7" s="12" t="s">
        <v>17</v>
      </c>
      <c r="B7" s="9">
        <v>1.9316026009619236E-4</v>
      </c>
      <c r="C7" s="10">
        <v>99325.2109375</v>
      </c>
      <c r="D7" s="10">
        <v>19.185684204101562</v>
      </c>
      <c r="E7" s="10">
        <v>99315.6171875</v>
      </c>
      <c r="F7" s="10">
        <v>7332950.5</v>
      </c>
      <c r="G7" s="13">
        <v>73.827682495117188</v>
      </c>
      <c r="I7">
        <f t="shared" si="1"/>
        <v>1.9317892540385179E-4</v>
      </c>
      <c r="K7">
        <v>10</v>
      </c>
      <c r="L7" s="23">
        <f>SUM(D14:D18)</f>
        <v>88.371928215026855</v>
      </c>
      <c r="M7" s="23">
        <f>SUM(E14:E18)</f>
        <v>495979.4296875</v>
      </c>
      <c r="N7" s="20">
        <f t="shared" si="8"/>
        <v>1.7817659952290167E-4</v>
      </c>
      <c r="P7" s="29" t="s">
        <v>133</v>
      </c>
      <c r="Q7" s="25">
        <f t="shared" si="9"/>
        <v>8.9058821695237164E-4</v>
      </c>
      <c r="R7" s="23">
        <f t="shared" si="10"/>
        <v>99228.719326019287</v>
      </c>
      <c r="S7" s="23">
        <f>SUM(D14:D18)</f>
        <v>88.371928215026855</v>
      </c>
      <c r="T7" s="23">
        <f>SUM(E14:E18)</f>
        <v>495979.4296875</v>
      </c>
      <c r="U7" s="23">
        <f t="shared" si="2"/>
        <v>6638049.1896972656</v>
      </c>
      <c r="V7" s="30">
        <f t="shared" si="3"/>
        <v>66.89645129740849</v>
      </c>
      <c r="W7">
        <f t="shared" ref="W7:W25" si="12">(T7-R8*5)/S7</f>
        <v>3.1423179745836936</v>
      </c>
      <c r="X7" s="20">
        <f t="shared" si="4"/>
        <v>1.7817659952290167E-4</v>
      </c>
      <c r="Y7" s="28">
        <f t="shared" ref="Y7:Y25" si="13">(T7-R8*5)/S7</f>
        <v>3.1423179745836936</v>
      </c>
      <c r="Z7" s="29" t="s">
        <v>133</v>
      </c>
      <c r="AA7" s="25">
        <f t="shared" ref="AA7:AA24" si="14">(AG7*5)/(1+(5-AH7)*AG7)</f>
        <v>8.9058821695237153E-4</v>
      </c>
      <c r="AB7" s="23">
        <f t="shared" si="11"/>
        <v>99228.719326019287</v>
      </c>
      <c r="AC7" s="23">
        <f t="shared" si="5"/>
        <v>88.371928215026841</v>
      </c>
      <c r="AD7" s="23">
        <f t="shared" ref="AD7:AD25" si="15">AB8*5+AC7*AH7</f>
        <v>495979.4296875</v>
      </c>
      <c r="AE7" s="23">
        <f t="shared" si="6"/>
        <v>6638049.1715123178</v>
      </c>
      <c r="AF7" s="30">
        <f t="shared" si="7"/>
        <v>66.896451114145535</v>
      </c>
      <c r="AG7">
        <f t="shared" si="0"/>
        <v>1.7817659952290167E-4</v>
      </c>
      <c r="AH7">
        <f t="shared" si="0"/>
        <v>3.1423179745836936</v>
      </c>
    </row>
    <row r="8" spans="1:34" x14ac:dyDescent="0.2">
      <c r="A8" s="12" t="s">
        <v>18</v>
      </c>
      <c r="B8" s="9">
        <v>1.5314605843741447E-4</v>
      </c>
      <c r="C8" s="10">
        <v>99306.0234375</v>
      </c>
      <c r="D8" s="10">
        <v>15.20832633972168</v>
      </c>
      <c r="E8" s="10">
        <v>99298.421875</v>
      </c>
      <c r="F8" s="10">
        <v>7233634.5</v>
      </c>
      <c r="G8" s="13">
        <v>72.841850280761719</v>
      </c>
      <c r="I8">
        <f t="shared" si="1"/>
        <v>1.5315778491290026E-4</v>
      </c>
      <c r="K8">
        <v>15</v>
      </c>
      <c r="L8" s="23">
        <f>SUM(D19:D23)</f>
        <v>338.66046905517578</v>
      </c>
      <c r="M8" s="23">
        <f>SUM(E19:E23)</f>
        <v>494979.375</v>
      </c>
      <c r="N8" s="20">
        <f t="shared" si="8"/>
        <v>6.841910717091511E-4</v>
      </c>
      <c r="P8" s="29" t="s">
        <v>134</v>
      </c>
      <c r="Q8" s="25">
        <f t="shared" si="9"/>
        <v>3.4159701669824525E-3</v>
      </c>
      <c r="R8" s="23">
        <f t="shared" si="10"/>
        <v>99140.34739780426</v>
      </c>
      <c r="S8" s="23">
        <f>SUM(D19:D23)</f>
        <v>338.66046905517578</v>
      </c>
      <c r="T8" s="23">
        <f>SUM(E19:E23)</f>
        <v>494979.375</v>
      </c>
      <c r="U8" s="23">
        <f t="shared" si="2"/>
        <v>6142069.7600097656</v>
      </c>
      <c r="V8" s="30">
        <f t="shared" si="3"/>
        <v>61.953280588825116</v>
      </c>
      <c r="W8">
        <f t="shared" si="12"/>
        <v>2.8670023370704909</v>
      </c>
      <c r="X8" s="20">
        <f t="shared" si="4"/>
        <v>6.841910717091511E-4</v>
      </c>
      <c r="Y8" s="28">
        <f t="shared" si="13"/>
        <v>2.8670023370704909</v>
      </c>
      <c r="Z8" s="29" t="s">
        <v>134</v>
      </c>
      <c r="AA8" s="25">
        <f t="shared" si="14"/>
        <v>3.4159701669824525E-3</v>
      </c>
      <c r="AB8" s="23">
        <f t="shared" si="11"/>
        <v>99140.34739780426</v>
      </c>
      <c r="AC8" s="23">
        <f t="shared" si="5"/>
        <v>338.66046905517578</v>
      </c>
      <c r="AD8" s="23">
        <f t="shared" si="15"/>
        <v>494979.375</v>
      </c>
      <c r="AE8" s="23">
        <f t="shared" si="6"/>
        <v>6142069.7418248178</v>
      </c>
      <c r="AF8" s="30">
        <f t="shared" si="7"/>
        <v>61.953280405398814</v>
      </c>
      <c r="AG8">
        <f t="shared" si="0"/>
        <v>6.841910717091511E-4</v>
      </c>
      <c r="AH8">
        <f t="shared" si="0"/>
        <v>2.8670023370704909</v>
      </c>
    </row>
    <row r="9" spans="1:34" x14ac:dyDescent="0.2">
      <c r="A9" s="12" t="s">
        <v>19</v>
      </c>
      <c r="B9" s="9">
        <v>1.4854026085231453E-4</v>
      </c>
      <c r="C9" s="10">
        <v>99290.8125</v>
      </c>
      <c r="D9" s="10">
        <v>14.748682975769043</v>
      </c>
      <c r="E9" s="10">
        <v>99283.4375</v>
      </c>
      <c r="F9" s="10">
        <v>7134336.5</v>
      </c>
      <c r="G9" s="13">
        <v>71.852935791015625</v>
      </c>
      <c r="I9">
        <f t="shared" si="1"/>
        <v>1.4855129261382639E-4</v>
      </c>
      <c r="K9">
        <v>20</v>
      </c>
      <c r="L9" s="23">
        <f>SUM(D24:D28)</f>
        <v>638.99813079833984</v>
      </c>
      <c r="M9" s="23">
        <f>SUM(E24:E28)</f>
        <v>492505.109375</v>
      </c>
      <c r="N9" s="20">
        <f t="shared" si="8"/>
        <v>1.2974446734354548E-3</v>
      </c>
      <c r="P9" s="29" t="s">
        <v>135</v>
      </c>
      <c r="Q9" s="25">
        <f t="shared" si="9"/>
        <v>6.4674819900509785E-3</v>
      </c>
      <c r="R9" s="23">
        <f t="shared" si="10"/>
        <v>98801.686928749084</v>
      </c>
      <c r="S9" s="23">
        <f>SUM(D24:D28)</f>
        <v>638.99813079833984</v>
      </c>
      <c r="T9" s="23">
        <f>SUM(E24:E28)</f>
        <v>492505.109375</v>
      </c>
      <c r="U9" s="23">
        <f t="shared" si="2"/>
        <v>5647090.3850097656</v>
      </c>
      <c r="V9" s="30">
        <f t="shared" si="3"/>
        <v>57.15580938493661</v>
      </c>
      <c r="W9">
        <f t="shared" si="12"/>
        <v>2.6473714142681057</v>
      </c>
      <c r="X9" s="20">
        <f t="shared" si="4"/>
        <v>1.2974446734354548E-3</v>
      </c>
      <c r="Y9" s="28">
        <f t="shared" si="13"/>
        <v>2.6473714142681057</v>
      </c>
      <c r="Z9" s="29" t="s">
        <v>135</v>
      </c>
      <c r="AA9" s="25">
        <f t="shared" si="14"/>
        <v>6.4674819900509776E-3</v>
      </c>
      <c r="AB9" s="23">
        <f t="shared" si="11"/>
        <v>98801.686928749084</v>
      </c>
      <c r="AC9" s="23">
        <f t="shared" si="5"/>
        <v>638.99813079833984</v>
      </c>
      <c r="AD9" s="23">
        <f t="shared" si="15"/>
        <v>492505.109375</v>
      </c>
      <c r="AE9" s="23">
        <f t="shared" si="6"/>
        <v>5647090.3668248178</v>
      </c>
      <c r="AF9" s="30">
        <f t="shared" si="7"/>
        <v>57.155809200881578</v>
      </c>
      <c r="AG9">
        <f t="shared" si="0"/>
        <v>1.2974446734354548E-3</v>
      </c>
      <c r="AH9">
        <f t="shared" si="0"/>
        <v>2.6473714142681057</v>
      </c>
    </row>
    <row r="10" spans="1:34" x14ac:dyDescent="0.2">
      <c r="A10" s="12" t="s">
        <v>20</v>
      </c>
      <c r="B10" s="9">
        <v>1.3658548414241523E-4</v>
      </c>
      <c r="C10" s="10">
        <v>99276.0625</v>
      </c>
      <c r="D10" s="10">
        <v>13.559669494628906</v>
      </c>
      <c r="E10" s="10">
        <v>99269.28125</v>
      </c>
      <c r="F10" s="10">
        <v>7035053</v>
      </c>
      <c r="G10" s="13">
        <v>70.863540649414062</v>
      </c>
      <c r="I10">
        <f t="shared" si="1"/>
        <v>1.3659481889951637E-4</v>
      </c>
      <c r="K10">
        <v>25</v>
      </c>
      <c r="L10" s="23">
        <f>SUM(D29:D33)</f>
        <v>791.59890747070312</v>
      </c>
      <c r="M10" s="23">
        <f>SUM(E29:E33)</f>
        <v>488884.5625</v>
      </c>
      <c r="N10" s="20">
        <f t="shared" si="8"/>
        <v>1.6191939124089302E-3</v>
      </c>
      <c r="P10" s="29" t="s">
        <v>136</v>
      </c>
      <c r="Q10" s="25">
        <f t="shared" si="9"/>
        <v>8.0641526547837253E-3</v>
      </c>
      <c r="R10" s="23">
        <f t="shared" si="10"/>
        <v>98162.688797950745</v>
      </c>
      <c r="S10" s="23">
        <f>SUM(D29:D33)</f>
        <v>791.59890747070312</v>
      </c>
      <c r="T10" s="23">
        <f>SUM(E29:E33)</f>
        <v>488884.5625</v>
      </c>
      <c r="U10" s="23">
        <f t="shared" si="2"/>
        <v>5154585.2756347656</v>
      </c>
      <c r="V10" s="30">
        <f t="shared" si="3"/>
        <v>52.510636564209243</v>
      </c>
      <c r="W10">
        <f t="shared" si="12"/>
        <v>2.5633095604984644</v>
      </c>
      <c r="X10" s="20">
        <f t="shared" si="4"/>
        <v>1.6191939124089302E-3</v>
      </c>
      <c r="Y10" s="28">
        <f t="shared" si="13"/>
        <v>2.5633095604984644</v>
      </c>
      <c r="Z10" s="29" t="s">
        <v>136</v>
      </c>
      <c r="AA10" s="25">
        <f t="shared" si="14"/>
        <v>8.064152654783727E-3</v>
      </c>
      <c r="AB10" s="23">
        <f t="shared" si="11"/>
        <v>98162.688797950745</v>
      </c>
      <c r="AC10" s="23">
        <f t="shared" si="5"/>
        <v>791.59890747070335</v>
      </c>
      <c r="AD10" s="23">
        <f t="shared" si="15"/>
        <v>488884.5625</v>
      </c>
      <c r="AE10" s="23">
        <f t="shared" si="6"/>
        <v>5154585.2574498178</v>
      </c>
      <c r="AF10" s="30">
        <f t="shared" si="7"/>
        <v>52.510636378956093</v>
      </c>
      <c r="AG10">
        <f t="shared" si="0"/>
        <v>1.6191939124089302E-3</v>
      </c>
      <c r="AH10">
        <f t="shared" si="0"/>
        <v>2.5633095604984644</v>
      </c>
    </row>
    <row r="11" spans="1:34" x14ac:dyDescent="0.2">
      <c r="A11" s="12" t="s">
        <v>21</v>
      </c>
      <c r="B11" s="9">
        <v>1.2585296644829214E-4</v>
      </c>
      <c r="C11" s="10">
        <v>99262.5</v>
      </c>
      <c r="D11" s="10">
        <v>12.492480278015137</v>
      </c>
      <c r="E11" s="10">
        <v>99256.25</v>
      </c>
      <c r="F11" s="10">
        <v>6935783.5</v>
      </c>
      <c r="G11" s="13">
        <v>69.873146057128906</v>
      </c>
      <c r="I11">
        <f t="shared" si="1"/>
        <v>1.2586089317312649E-4</v>
      </c>
      <c r="K11">
        <v>30</v>
      </c>
      <c r="L11" s="23">
        <f>SUM(D34:D38)</f>
        <v>935.72224426269531</v>
      </c>
      <c r="M11" s="23">
        <f>SUM(E34:E38)</f>
        <v>484580.15625</v>
      </c>
      <c r="N11" s="20">
        <f t="shared" si="8"/>
        <v>1.9309957954199561E-3</v>
      </c>
      <c r="P11" s="29" t="s">
        <v>137</v>
      </c>
      <c r="Q11" s="25">
        <f t="shared" si="9"/>
        <v>9.6098569433203055E-3</v>
      </c>
      <c r="R11" s="23">
        <f t="shared" si="10"/>
        <v>97371.089890480042</v>
      </c>
      <c r="S11" s="23">
        <f>SUM(D34:D38)</f>
        <v>935.72224426269531</v>
      </c>
      <c r="T11" s="23">
        <f>SUM(E34:E38)</f>
        <v>484580.15625</v>
      </c>
      <c r="U11" s="23">
        <f t="shared" si="2"/>
        <v>4665700.7131347656</v>
      </c>
      <c r="V11" s="30">
        <f t="shared" si="3"/>
        <v>47.91669394255112</v>
      </c>
      <c r="W11">
        <f t="shared" si="12"/>
        <v>2.5684096254513746</v>
      </c>
      <c r="X11" s="20">
        <f t="shared" si="4"/>
        <v>1.9309957954199561E-3</v>
      </c>
      <c r="Y11" s="28">
        <f t="shared" si="13"/>
        <v>2.5684096254513746</v>
      </c>
      <c r="Z11" s="29" t="s">
        <v>137</v>
      </c>
      <c r="AA11" s="25">
        <f t="shared" si="14"/>
        <v>9.609856943320309E-3</v>
      </c>
      <c r="AB11" s="23">
        <f t="shared" si="11"/>
        <v>97371.089890480042</v>
      </c>
      <c r="AC11" s="23">
        <f t="shared" si="5"/>
        <v>935.72224426269554</v>
      </c>
      <c r="AD11" s="23">
        <f t="shared" si="15"/>
        <v>484580.15625</v>
      </c>
      <c r="AE11" s="23">
        <f t="shared" si="6"/>
        <v>4665700.6949498178</v>
      </c>
      <c r="AF11" s="30">
        <f t="shared" si="7"/>
        <v>47.916693755791911</v>
      </c>
      <c r="AG11">
        <f t="shared" si="0"/>
        <v>1.9309957954199561E-3</v>
      </c>
      <c r="AH11">
        <f t="shared" si="0"/>
        <v>2.5684096254513746</v>
      </c>
    </row>
    <row r="12" spans="1:34" x14ac:dyDescent="0.2">
      <c r="A12" s="12" t="s">
        <v>22</v>
      </c>
      <c r="B12" s="9">
        <v>1.1345998791512102E-4</v>
      </c>
      <c r="C12" s="10">
        <v>99250.0078125</v>
      </c>
      <c r="D12" s="10">
        <v>11.260904312133789</v>
      </c>
      <c r="E12" s="10">
        <v>99244.375</v>
      </c>
      <c r="F12" s="10">
        <v>6836527.5</v>
      </c>
      <c r="G12" s="13">
        <v>68.881881713867188</v>
      </c>
      <c r="I12">
        <f t="shared" si="1"/>
        <v>1.1346642378607139E-4</v>
      </c>
      <c r="K12">
        <v>35</v>
      </c>
      <c r="L12" s="23">
        <f>SUM(D39:D43)</f>
        <v>1112.8733062744141</v>
      </c>
      <c r="M12" s="23">
        <f>SUM(E39:E43)</f>
        <v>479466.65625</v>
      </c>
      <c r="N12" s="20">
        <f t="shared" si="8"/>
        <v>2.3210650662934687E-3</v>
      </c>
      <c r="P12" s="29" t="s">
        <v>138</v>
      </c>
      <c r="Q12" s="25">
        <f t="shared" si="9"/>
        <v>1.1540095023613115E-2</v>
      </c>
      <c r="R12" s="23">
        <f t="shared" si="10"/>
        <v>96435.367646217346</v>
      </c>
      <c r="S12" s="23">
        <f>SUM(D39:D43)</f>
        <v>1112.8733062744141</v>
      </c>
      <c r="T12" s="23">
        <f>SUM(E39:E43)</f>
        <v>479466.65625</v>
      </c>
      <c r="U12" s="23">
        <f t="shared" si="2"/>
        <v>4181120.5568847656</v>
      </c>
      <c r="V12" s="30">
        <f t="shared" si="3"/>
        <v>43.356712987538124</v>
      </c>
      <c r="W12">
        <f t="shared" si="12"/>
        <v>2.5646985458213067</v>
      </c>
      <c r="X12" s="20">
        <f t="shared" si="4"/>
        <v>2.3210650662934687E-3</v>
      </c>
      <c r="Y12" s="28">
        <f t="shared" si="13"/>
        <v>2.5646985458213067</v>
      </c>
      <c r="Z12" s="29" t="s">
        <v>138</v>
      </c>
      <c r="AA12" s="25">
        <f t="shared" si="14"/>
        <v>1.1540095023613115E-2</v>
      </c>
      <c r="AB12" s="23">
        <f t="shared" si="11"/>
        <v>96435.367646217346</v>
      </c>
      <c r="AC12" s="23">
        <f t="shared" si="5"/>
        <v>1112.8733062744141</v>
      </c>
      <c r="AD12" s="23">
        <f t="shared" si="15"/>
        <v>479466.65625</v>
      </c>
      <c r="AE12" s="23">
        <f t="shared" si="6"/>
        <v>4181120.5386998183</v>
      </c>
      <c r="AF12" s="30">
        <f t="shared" si="7"/>
        <v>43.356712798966775</v>
      </c>
      <c r="AG12">
        <f t="shared" si="0"/>
        <v>2.3210650662934687E-3</v>
      </c>
      <c r="AH12">
        <f t="shared" si="0"/>
        <v>2.5646985458213067</v>
      </c>
    </row>
    <row r="13" spans="1:34" x14ac:dyDescent="0.2">
      <c r="A13" s="12" t="s">
        <v>23</v>
      </c>
      <c r="B13" s="9">
        <v>1.0109496361110359E-4</v>
      </c>
      <c r="C13" s="10">
        <v>99238.75</v>
      </c>
      <c r="D13" s="10">
        <v>10.032537460327148</v>
      </c>
      <c r="E13" s="10">
        <v>99233.734375</v>
      </c>
      <c r="F13" s="10">
        <v>6737283</v>
      </c>
      <c r="G13" s="13">
        <v>67.889640808105469</v>
      </c>
      <c r="I13">
        <f t="shared" si="1"/>
        <v>1.0110006968411188E-4</v>
      </c>
      <c r="K13">
        <v>40</v>
      </c>
      <c r="L13" s="23">
        <f>SUM(D44:D48)</f>
        <v>1348.0297546386719</v>
      </c>
      <c r="M13" s="23">
        <f>SUM(E44:E48)</f>
        <v>473375.6328125</v>
      </c>
      <c r="N13" s="20">
        <f t="shared" si="8"/>
        <v>2.8476957012542612E-3</v>
      </c>
      <c r="P13" s="29" t="s">
        <v>139</v>
      </c>
      <c r="Q13" s="25">
        <f t="shared" si="9"/>
        <v>1.4141780111536672E-2</v>
      </c>
      <c r="R13" s="23">
        <f t="shared" si="10"/>
        <v>95322.494339942932</v>
      </c>
      <c r="S13" s="23">
        <f>SUM(D44:D48)</f>
        <v>1348.0297546386719</v>
      </c>
      <c r="T13" s="23">
        <f>SUM(E44:E48)</f>
        <v>473375.6328125</v>
      </c>
      <c r="U13" s="23">
        <f t="shared" si="2"/>
        <v>3701653.9006347656</v>
      </c>
      <c r="V13" s="30">
        <f t="shared" si="3"/>
        <v>38.832952560324088</v>
      </c>
      <c r="W13">
        <f t="shared" si="12"/>
        <v>2.598837209582018</v>
      </c>
      <c r="X13" s="20">
        <f t="shared" si="4"/>
        <v>2.8476957012542612E-3</v>
      </c>
      <c r="Y13" s="28">
        <f t="shared" si="13"/>
        <v>2.598837209582018</v>
      </c>
      <c r="Z13" s="29" t="s">
        <v>139</v>
      </c>
      <c r="AA13" s="25">
        <f t="shared" si="14"/>
        <v>1.414178011153667E-2</v>
      </c>
      <c r="AB13" s="23">
        <f t="shared" si="11"/>
        <v>95322.494339942932</v>
      </c>
      <c r="AC13" s="23">
        <f t="shared" si="5"/>
        <v>1348.0297546386719</v>
      </c>
      <c r="AD13" s="23">
        <f t="shared" si="15"/>
        <v>473375.6328125</v>
      </c>
      <c r="AE13" s="23">
        <f t="shared" si="6"/>
        <v>3701653.8824498183</v>
      </c>
      <c r="AF13" s="30">
        <f t="shared" si="7"/>
        <v>38.832952369551208</v>
      </c>
      <c r="AG13">
        <f t="shared" si="0"/>
        <v>2.8476957012542612E-3</v>
      </c>
      <c r="AH13">
        <f t="shared" si="0"/>
        <v>2.598837209582018</v>
      </c>
    </row>
    <row r="14" spans="1:34" x14ac:dyDescent="0.2">
      <c r="A14" s="12" t="s">
        <v>24</v>
      </c>
      <c r="B14" s="9">
        <v>9.5145864179357886E-5</v>
      </c>
      <c r="C14" s="10">
        <v>99228.71875</v>
      </c>
      <c r="D14" s="10">
        <v>9.4412021636962891</v>
      </c>
      <c r="E14" s="10">
        <v>99224</v>
      </c>
      <c r="F14" s="10">
        <v>6638049</v>
      </c>
      <c r="G14" s="13">
        <v>66.896446228027344</v>
      </c>
      <c r="I14">
        <f t="shared" si="1"/>
        <v>9.5150388652909466E-5</v>
      </c>
      <c r="K14">
        <v>45</v>
      </c>
      <c r="L14" s="23">
        <f>SUM(D49:D53)</f>
        <v>1815.3407592773438</v>
      </c>
      <c r="M14" s="23">
        <f>SUM(E49:E53)</f>
        <v>465583.53125</v>
      </c>
      <c r="N14" s="20">
        <f t="shared" si="8"/>
        <v>3.8990656615441521E-3</v>
      </c>
      <c r="P14" s="29" t="s">
        <v>140</v>
      </c>
      <c r="Q14" s="25">
        <f t="shared" si="9"/>
        <v>1.9317383368856425E-2</v>
      </c>
      <c r="R14" s="23">
        <f t="shared" si="10"/>
        <v>93974.46458530426</v>
      </c>
      <c r="S14" s="23">
        <f>SUM(D49:D53)</f>
        <v>1815.3407592773438</v>
      </c>
      <c r="T14" s="23">
        <f>SUM(E49:E53)</f>
        <v>465583.53125</v>
      </c>
      <c r="U14" s="23">
        <f t="shared" si="2"/>
        <v>3228278.2678222656</v>
      </c>
      <c r="V14" s="30">
        <f t="shared" si="3"/>
        <v>34.352717858709717</v>
      </c>
      <c r="W14">
        <f t="shared" si="12"/>
        <v>2.6374729347075334</v>
      </c>
      <c r="X14" s="20">
        <f t="shared" si="4"/>
        <v>3.8990656615441521E-3</v>
      </c>
      <c r="Y14" s="28">
        <f t="shared" si="13"/>
        <v>2.6374729347075334</v>
      </c>
      <c r="Z14" s="29" t="s">
        <v>140</v>
      </c>
      <c r="AA14" s="25">
        <f t="shared" si="14"/>
        <v>1.9317383368856425E-2</v>
      </c>
      <c r="AB14" s="23">
        <f t="shared" si="11"/>
        <v>93974.46458530426</v>
      </c>
      <c r="AC14" s="23">
        <f t="shared" si="5"/>
        <v>1815.3407592773435</v>
      </c>
      <c r="AD14" s="23">
        <f t="shared" si="15"/>
        <v>465583.53125</v>
      </c>
      <c r="AE14" s="23">
        <f t="shared" si="6"/>
        <v>3228278.2496373183</v>
      </c>
      <c r="AF14" s="30">
        <f t="shared" si="7"/>
        <v>34.352717665200267</v>
      </c>
      <c r="AG14">
        <f t="shared" si="0"/>
        <v>3.8990656615441521E-3</v>
      </c>
      <c r="AH14">
        <f t="shared" si="0"/>
        <v>2.6374729347075334</v>
      </c>
    </row>
    <row r="15" spans="1:34" x14ac:dyDescent="0.2">
      <c r="A15" s="12" t="s">
        <v>25</v>
      </c>
      <c r="B15" s="9">
        <v>1.0594227933324873E-4</v>
      </c>
      <c r="C15" s="10">
        <v>99219.28125</v>
      </c>
      <c r="D15" s="10">
        <v>10.511516571044922</v>
      </c>
      <c r="E15" s="10">
        <v>99214.03125</v>
      </c>
      <c r="F15" s="10">
        <v>6538825</v>
      </c>
      <c r="G15" s="13">
        <v>65.902763366699219</v>
      </c>
      <c r="I15">
        <f t="shared" si="1"/>
        <v>1.0594788296181566E-4</v>
      </c>
      <c r="K15">
        <v>50</v>
      </c>
      <c r="L15" s="23">
        <f>SUM(D54:D58)</f>
        <v>2674.2552185058594</v>
      </c>
      <c r="M15" s="23">
        <f>SUM(E54:E58)</f>
        <v>454575.203125</v>
      </c>
      <c r="N15" s="20">
        <f t="shared" si="8"/>
        <v>5.8829764582879968E-3</v>
      </c>
      <c r="P15" s="29" t="s">
        <v>141</v>
      </c>
      <c r="Q15" s="25">
        <f t="shared" si="9"/>
        <v>2.9017802117500335E-2</v>
      </c>
      <c r="R15" s="23">
        <f t="shared" si="10"/>
        <v>92159.123826026917</v>
      </c>
      <c r="S15" s="23">
        <f>SUM(D54:D58)</f>
        <v>2674.2552185058594</v>
      </c>
      <c r="T15" s="23">
        <f>SUM(E54:E58)</f>
        <v>454575.203125</v>
      </c>
      <c r="U15" s="23">
        <f t="shared" si="2"/>
        <v>2762694.7365722656</v>
      </c>
      <c r="V15" s="30">
        <f t="shared" si="3"/>
        <v>29.977441428235945</v>
      </c>
      <c r="W15">
        <f t="shared" si="12"/>
        <v>2.6739632170896508</v>
      </c>
      <c r="X15" s="20">
        <f t="shared" si="4"/>
        <v>5.8829764582879968E-3</v>
      </c>
      <c r="Y15" s="28">
        <f t="shared" si="13"/>
        <v>2.6739632170896508</v>
      </c>
      <c r="Z15" s="29" t="s">
        <v>141</v>
      </c>
      <c r="AA15" s="25">
        <f t="shared" si="14"/>
        <v>2.9017802117500335E-2</v>
      </c>
      <c r="AB15" s="23">
        <f t="shared" si="11"/>
        <v>92159.123826026917</v>
      </c>
      <c r="AC15" s="23">
        <f t="shared" si="5"/>
        <v>2674.2552185058594</v>
      </c>
      <c r="AD15" s="23">
        <f t="shared" si="15"/>
        <v>454575.203125</v>
      </c>
      <c r="AE15" s="23">
        <f t="shared" si="6"/>
        <v>2762694.7183873183</v>
      </c>
      <c r="AF15" s="30">
        <f t="shared" si="7"/>
        <v>29.977441230914764</v>
      </c>
      <c r="AG15">
        <f t="shared" si="0"/>
        <v>5.8829764582879968E-3</v>
      </c>
      <c r="AH15">
        <f t="shared" si="0"/>
        <v>2.6739632170896508</v>
      </c>
    </row>
    <row r="16" spans="1:34" x14ac:dyDescent="0.2">
      <c r="A16" s="12" t="s">
        <v>26</v>
      </c>
      <c r="B16" s="9">
        <v>1.4539950643666089E-4</v>
      </c>
      <c r="C16" s="10">
        <v>99208.7734375</v>
      </c>
      <c r="D16" s="10">
        <v>14.424906730651855</v>
      </c>
      <c r="E16" s="10">
        <v>99201.5625</v>
      </c>
      <c r="F16" s="10">
        <v>6439611</v>
      </c>
      <c r="G16" s="13">
        <v>64.909690856933594</v>
      </c>
      <c r="I16">
        <f t="shared" si="1"/>
        <v>1.4541007588113198E-4</v>
      </c>
      <c r="K16">
        <v>55</v>
      </c>
      <c r="L16" s="23">
        <f>SUM(D59:D63)</f>
        <v>3988.9673461914062</v>
      </c>
      <c r="M16" s="23">
        <f>SUM(E59:E63)</f>
        <v>438015.671875</v>
      </c>
      <c r="N16" s="20">
        <f t="shared" si="8"/>
        <v>9.1069055340325111E-3</v>
      </c>
      <c r="P16" s="29" t="s">
        <v>142</v>
      </c>
      <c r="Q16" s="25">
        <f t="shared" si="9"/>
        <v>4.457700400373768E-2</v>
      </c>
      <c r="R16" s="23">
        <f t="shared" si="10"/>
        <v>89484.868607521057</v>
      </c>
      <c r="S16" s="23">
        <f>SUM(D59:D63)</f>
        <v>3988.9673461914062</v>
      </c>
      <c r="T16" s="23">
        <f>SUM(E59:E63)</f>
        <v>438015.671875</v>
      </c>
      <c r="U16" s="23">
        <f t="shared" si="2"/>
        <v>2308119.5334472656</v>
      </c>
      <c r="V16" s="30">
        <f t="shared" si="3"/>
        <v>25.79340585021848</v>
      </c>
      <c r="W16">
        <f t="shared" si="12"/>
        <v>2.641326602588383</v>
      </c>
      <c r="X16" s="20">
        <f t="shared" si="4"/>
        <v>9.1069055340325111E-3</v>
      </c>
      <c r="Y16" s="28">
        <f t="shared" si="13"/>
        <v>2.641326602588383</v>
      </c>
      <c r="Z16" s="29" t="s">
        <v>142</v>
      </c>
      <c r="AA16" s="25">
        <f t="shared" si="14"/>
        <v>4.4577004003737673E-2</v>
      </c>
      <c r="AB16" s="23">
        <f t="shared" si="11"/>
        <v>89484.868607521057</v>
      </c>
      <c r="AC16" s="23">
        <f t="shared" si="5"/>
        <v>3988.9673461914058</v>
      </c>
      <c r="AD16" s="23">
        <f t="shared" si="15"/>
        <v>438015.671875</v>
      </c>
      <c r="AE16" s="23">
        <f t="shared" si="6"/>
        <v>2308119.5152623183</v>
      </c>
      <c r="AF16" s="30">
        <f t="shared" si="7"/>
        <v>25.793405647000355</v>
      </c>
      <c r="AG16">
        <f t="shared" si="0"/>
        <v>9.1069055340325111E-3</v>
      </c>
      <c r="AH16">
        <f t="shared" si="0"/>
        <v>2.641326602588383</v>
      </c>
    </row>
    <row r="17" spans="1:34" x14ac:dyDescent="0.2">
      <c r="A17" s="12" t="s">
        <v>27</v>
      </c>
      <c r="B17" s="9">
        <v>2.205241471529007E-4</v>
      </c>
      <c r="C17" s="10">
        <v>99194.3515625</v>
      </c>
      <c r="D17" s="10">
        <v>21.874750137329102</v>
      </c>
      <c r="E17" s="10">
        <v>99183.4140625</v>
      </c>
      <c r="F17" s="10">
        <v>6340409.5</v>
      </c>
      <c r="G17" s="13">
        <v>63.919059753417969</v>
      </c>
      <c r="I17">
        <f t="shared" si="1"/>
        <v>2.2054846915780518E-4</v>
      </c>
      <c r="K17">
        <v>60</v>
      </c>
      <c r="L17" s="23">
        <f>SUM(D64:D68)</f>
        <v>5511.666259765625</v>
      </c>
      <c r="M17" s="23">
        <f>SUM(E64:E68)</f>
        <v>414305.5703125</v>
      </c>
      <c r="N17" s="20">
        <f t="shared" si="8"/>
        <v>1.3303384397193398E-2</v>
      </c>
      <c r="P17" s="29" t="s">
        <v>143</v>
      </c>
      <c r="Q17" s="25">
        <f t="shared" si="9"/>
        <v>6.4467023312830871E-2</v>
      </c>
      <c r="R17" s="23">
        <f t="shared" si="10"/>
        <v>85495.901261329651</v>
      </c>
      <c r="S17" s="23">
        <f>SUM(D64:D68)</f>
        <v>5511.666259765625</v>
      </c>
      <c r="T17" s="23">
        <f>SUM(E64:E68)</f>
        <v>414305.5703125</v>
      </c>
      <c r="U17" s="23">
        <f t="shared" si="2"/>
        <v>1870103.8615722656</v>
      </c>
      <c r="V17" s="30">
        <f t="shared" si="3"/>
        <v>21.873608371657994</v>
      </c>
      <c r="W17">
        <f t="shared" si="12"/>
        <v>2.6098088357932516</v>
      </c>
      <c r="X17" s="20">
        <f t="shared" si="4"/>
        <v>1.3303384397193398E-2</v>
      </c>
      <c r="Y17" s="28">
        <f t="shared" si="13"/>
        <v>2.6098088357932516</v>
      </c>
      <c r="Z17" s="29" t="s">
        <v>143</v>
      </c>
      <c r="AA17" s="25">
        <f t="shared" si="14"/>
        <v>6.4467023312830857E-2</v>
      </c>
      <c r="AB17" s="23">
        <f t="shared" si="11"/>
        <v>85495.901261329651</v>
      </c>
      <c r="AC17" s="23">
        <f t="shared" si="5"/>
        <v>5511.6662597656241</v>
      </c>
      <c r="AD17" s="23">
        <f t="shared" si="15"/>
        <v>414305.5703125</v>
      </c>
      <c r="AE17" s="23">
        <f t="shared" si="6"/>
        <v>1870103.8433873183</v>
      </c>
      <c r="AF17" s="30">
        <f t="shared" si="7"/>
        <v>21.873608158958358</v>
      </c>
      <c r="AG17">
        <f t="shared" si="0"/>
        <v>1.3303384397193398E-2</v>
      </c>
      <c r="AH17">
        <f t="shared" si="0"/>
        <v>2.6098088357932516</v>
      </c>
    </row>
    <row r="18" spans="1:34" x14ac:dyDescent="0.2">
      <c r="A18" s="12" t="s">
        <v>28</v>
      </c>
      <c r="B18" s="9">
        <v>3.2387569081038237E-4</v>
      </c>
      <c r="C18" s="10">
        <v>99172.4765625</v>
      </c>
      <c r="D18" s="10">
        <v>32.119552612304688</v>
      </c>
      <c r="E18" s="10">
        <v>99156.421875</v>
      </c>
      <c r="F18" s="10">
        <v>6241226</v>
      </c>
      <c r="G18" s="13">
        <v>62.93304443359375</v>
      </c>
      <c r="I18">
        <f t="shared" si="1"/>
        <v>3.2392811282355168E-4</v>
      </c>
      <c r="K18">
        <v>65</v>
      </c>
      <c r="L18" s="23">
        <f>SUM(D69:D73)</f>
        <v>7094.84765625</v>
      </c>
      <c r="M18" s="23">
        <f>SUM(E69:E73)</f>
        <v>382876.4921875</v>
      </c>
      <c r="N18" s="20">
        <f t="shared" si="8"/>
        <v>1.8530381992675468E-2</v>
      </c>
      <c r="P18" s="29" t="s">
        <v>144</v>
      </c>
      <c r="Q18" s="25">
        <f t="shared" si="9"/>
        <v>8.8703075751256064E-2</v>
      </c>
      <c r="R18" s="23">
        <f t="shared" si="10"/>
        <v>79984.235001564026</v>
      </c>
      <c r="S18" s="23">
        <f>SUM(D69:D73)</f>
        <v>7094.84765625</v>
      </c>
      <c r="T18" s="23">
        <f>SUM(E69:E73)</f>
        <v>382876.4921875</v>
      </c>
      <c r="U18" s="23">
        <f t="shared" si="2"/>
        <v>1455798.2912597656</v>
      </c>
      <c r="V18" s="30">
        <f t="shared" si="3"/>
        <v>18.201065387839225</v>
      </c>
      <c r="W18">
        <f t="shared" si="12"/>
        <v>2.5975970667523622</v>
      </c>
      <c r="X18" s="20">
        <f t="shared" si="4"/>
        <v>1.8530381992675468E-2</v>
      </c>
      <c r="Y18" s="28">
        <f t="shared" si="13"/>
        <v>2.5975970667523622</v>
      </c>
      <c r="Z18" s="29" t="s">
        <v>144</v>
      </c>
      <c r="AA18" s="25">
        <f t="shared" si="14"/>
        <v>8.870307575125605E-2</v>
      </c>
      <c r="AB18" s="23">
        <f t="shared" si="11"/>
        <v>79984.235001564026</v>
      </c>
      <c r="AC18" s="23">
        <f t="shared" si="5"/>
        <v>7094.8476562499991</v>
      </c>
      <c r="AD18" s="23">
        <f t="shared" si="15"/>
        <v>382876.4921875</v>
      </c>
      <c r="AE18" s="23">
        <f t="shared" si="6"/>
        <v>1455798.2730748183</v>
      </c>
      <c r="AF18" s="30">
        <f t="shared" si="7"/>
        <v>18.201065160482578</v>
      </c>
      <c r="AG18">
        <f t="shared" si="0"/>
        <v>1.8530381992675468E-2</v>
      </c>
      <c r="AH18">
        <f t="shared" si="0"/>
        <v>2.5975970667523622</v>
      </c>
    </row>
    <row r="19" spans="1:34" x14ac:dyDescent="0.2">
      <c r="A19" s="12" t="s">
        <v>29</v>
      </c>
      <c r="B19" s="9">
        <v>4.3812565854750574E-4</v>
      </c>
      <c r="C19" s="10">
        <v>99140.359375</v>
      </c>
      <c r="D19" s="10">
        <v>43.435935974121094</v>
      </c>
      <c r="E19" s="10">
        <v>99118.640625</v>
      </c>
      <c r="F19" s="10">
        <v>6142070</v>
      </c>
      <c r="G19" s="13">
        <v>61.953273773193359</v>
      </c>
      <c r="I19">
        <f t="shared" si="1"/>
        <v>4.3822166749092351E-4</v>
      </c>
      <c r="K19">
        <v>70</v>
      </c>
      <c r="L19" s="23">
        <f>SUM(D74:D78)</f>
        <v>9045.6353759765625</v>
      </c>
      <c r="M19" s="23">
        <f>SUM(E74:E78)</f>
        <v>342835.47265625</v>
      </c>
      <c r="N19" s="20">
        <f t="shared" si="8"/>
        <v>2.6384770822844017E-2</v>
      </c>
      <c r="P19" s="29" t="s">
        <v>145</v>
      </c>
      <c r="Q19" s="25">
        <f t="shared" si="9"/>
        <v>0.12410085617982761</v>
      </c>
      <c r="R19" s="23">
        <f t="shared" si="10"/>
        <v>72889.387345314026</v>
      </c>
      <c r="S19" s="23">
        <f>SUM(D74:D78)</f>
        <v>9045.6353759765625</v>
      </c>
      <c r="T19" s="23">
        <f>SUM(E74:E78)</f>
        <v>342835.47265625</v>
      </c>
      <c r="U19" s="23">
        <f t="shared" si="2"/>
        <v>1072921.7990722656</v>
      </c>
      <c r="V19" s="30">
        <f t="shared" si="3"/>
        <v>14.719863043837787</v>
      </c>
      <c r="W19">
        <f t="shared" si="12"/>
        <v>2.610840679283188</v>
      </c>
      <c r="X19" s="20">
        <f t="shared" si="4"/>
        <v>2.6384770822844017E-2</v>
      </c>
      <c r="Y19" s="28">
        <f t="shared" si="13"/>
        <v>2.610840679283188</v>
      </c>
      <c r="Z19" s="29" t="s">
        <v>145</v>
      </c>
      <c r="AA19" s="25">
        <f t="shared" si="14"/>
        <v>0.12410085617982762</v>
      </c>
      <c r="AB19" s="23">
        <f t="shared" si="11"/>
        <v>72889.387345314026</v>
      </c>
      <c r="AC19" s="23">
        <f t="shared" si="5"/>
        <v>9045.6353759765625</v>
      </c>
      <c r="AD19" s="23">
        <f t="shared" si="15"/>
        <v>342835.47265625</v>
      </c>
      <c r="AE19" s="23">
        <f t="shared" si="6"/>
        <v>1072921.7808873183</v>
      </c>
      <c r="AF19" s="30">
        <f t="shared" si="7"/>
        <v>14.719862794350886</v>
      </c>
      <c r="AG19">
        <f t="shared" si="0"/>
        <v>2.6384770822844017E-2</v>
      </c>
      <c r="AH19">
        <f t="shared" si="0"/>
        <v>2.610840679283188</v>
      </c>
    </row>
    <row r="20" spans="1:34" x14ac:dyDescent="0.2">
      <c r="A20" s="12" t="s">
        <v>30</v>
      </c>
      <c r="B20" s="9">
        <v>5.544835003092885E-4</v>
      </c>
      <c r="C20" s="10">
        <v>99096.921875</v>
      </c>
      <c r="D20" s="10">
        <v>54.947608947753906</v>
      </c>
      <c r="E20" s="10">
        <v>99069.453125</v>
      </c>
      <c r="F20" s="10">
        <v>6042951</v>
      </c>
      <c r="G20" s="13">
        <v>60.980209350585938</v>
      </c>
      <c r="I20">
        <f t="shared" si="1"/>
        <v>5.546372490663116E-4</v>
      </c>
      <c r="K20">
        <v>75</v>
      </c>
      <c r="L20" s="23">
        <f>SUM(D79:D83)</f>
        <v>12190.549072265625</v>
      </c>
      <c r="M20" s="23">
        <f>SUM(E79:E83)</f>
        <v>290139.32421875</v>
      </c>
      <c r="N20" s="20">
        <f t="shared" si="8"/>
        <v>4.2016190342659597E-2</v>
      </c>
      <c r="P20" s="29" t="s">
        <v>146</v>
      </c>
      <c r="Q20" s="25">
        <f t="shared" si="9"/>
        <v>0.19094349401834085</v>
      </c>
      <c r="R20" s="23">
        <f t="shared" si="10"/>
        <v>63843.751969337463</v>
      </c>
      <c r="S20" s="23">
        <f>SUM(D79:D83)</f>
        <v>12190.549072265625</v>
      </c>
      <c r="T20" s="23">
        <f>SUM(E79:E83)</f>
        <v>290139.32421875</v>
      </c>
      <c r="U20" s="23">
        <f t="shared" si="2"/>
        <v>730086.32641601562</v>
      </c>
      <c r="V20" s="30">
        <f t="shared" si="3"/>
        <v>11.435517241634821</v>
      </c>
      <c r="W20">
        <f t="shared" si="12"/>
        <v>2.6145918075097105</v>
      </c>
      <c r="X20" s="20">
        <f t="shared" si="4"/>
        <v>4.2016190342659597E-2</v>
      </c>
      <c r="Y20" s="28">
        <f t="shared" si="13"/>
        <v>2.6145918075097105</v>
      </c>
      <c r="Z20" s="29" t="s">
        <v>146</v>
      </c>
      <c r="AA20" s="25">
        <f t="shared" si="14"/>
        <v>0.19094349401834088</v>
      </c>
      <c r="AB20" s="23">
        <f t="shared" si="11"/>
        <v>63843.751969337463</v>
      </c>
      <c r="AC20" s="23">
        <f t="shared" si="5"/>
        <v>12190.549072265627</v>
      </c>
      <c r="AD20" s="23">
        <f t="shared" si="15"/>
        <v>290139.32421875</v>
      </c>
      <c r="AE20" s="23">
        <f t="shared" si="6"/>
        <v>730086.30823106831</v>
      </c>
      <c r="AF20" s="30">
        <f t="shared" si="7"/>
        <v>11.43551695679963</v>
      </c>
      <c r="AG20">
        <f t="shared" si="0"/>
        <v>4.2016190342659597E-2</v>
      </c>
      <c r="AH20">
        <f t="shared" si="0"/>
        <v>2.6145918075097105</v>
      </c>
    </row>
    <row r="21" spans="1:34" x14ac:dyDescent="0.2">
      <c r="A21" s="12" t="s">
        <v>31</v>
      </c>
      <c r="B21" s="9">
        <v>6.7886186297982931E-4</v>
      </c>
      <c r="C21" s="10">
        <v>99041.9765625</v>
      </c>
      <c r="D21" s="10">
        <v>67.235816955566406</v>
      </c>
      <c r="E21" s="10">
        <v>99008.359375</v>
      </c>
      <c r="F21" s="10">
        <v>5943881.5</v>
      </c>
      <c r="G21" s="13">
        <v>60.013759613037109</v>
      </c>
      <c r="I21">
        <f t="shared" si="1"/>
        <v>6.7909232493093628E-4</v>
      </c>
      <c r="K21">
        <v>80</v>
      </c>
      <c r="L21" s="23">
        <f>SUM(D84:D88)</f>
        <v>15401.522705078125</v>
      </c>
      <c r="M21" s="23">
        <f>SUM(E84:E88)</f>
        <v>220933.6875</v>
      </c>
      <c r="N21" s="20">
        <f t="shared" si="8"/>
        <v>6.9711065249287191E-2</v>
      </c>
      <c r="P21" s="29" t="s">
        <v>147</v>
      </c>
      <c r="Q21" s="25">
        <f t="shared" si="9"/>
        <v>0.29817168812877659</v>
      </c>
      <c r="R21" s="23">
        <f t="shared" si="10"/>
        <v>51653.202897071838</v>
      </c>
      <c r="S21" s="23">
        <f>SUM(D84:D88)</f>
        <v>15401.522705078125</v>
      </c>
      <c r="T21" s="23">
        <f>SUM(E84:E88)</f>
        <v>220933.6875</v>
      </c>
      <c r="U21" s="23">
        <f t="shared" si="2"/>
        <v>439947.00219726562</v>
      </c>
      <c r="V21" s="30">
        <f t="shared" si="3"/>
        <v>8.5173227897200885</v>
      </c>
      <c r="W21">
        <f t="shared" si="12"/>
        <v>2.576062594573838</v>
      </c>
      <c r="X21" s="20">
        <f t="shared" si="4"/>
        <v>6.9711065249287191E-2</v>
      </c>
      <c r="Y21" s="28">
        <f t="shared" si="13"/>
        <v>2.576062594573838</v>
      </c>
      <c r="Z21" s="29" t="s">
        <v>147</v>
      </c>
      <c r="AA21" s="25">
        <f t="shared" si="14"/>
        <v>0.29817168812877665</v>
      </c>
      <c r="AB21" s="23">
        <f t="shared" si="11"/>
        <v>51653.202897071838</v>
      </c>
      <c r="AC21" s="23">
        <f t="shared" si="5"/>
        <v>15401.522705078127</v>
      </c>
      <c r="AD21" s="23">
        <f t="shared" si="15"/>
        <v>220933.6875</v>
      </c>
      <c r="AE21" s="23">
        <f t="shared" si="6"/>
        <v>439946.98401231831</v>
      </c>
      <c r="AF21" s="30">
        <f t="shared" si="7"/>
        <v>8.5173224376616226</v>
      </c>
      <c r="AG21">
        <f t="shared" si="0"/>
        <v>6.9711065249287191E-2</v>
      </c>
      <c r="AH21">
        <f t="shared" si="0"/>
        <v>2.576062594573838</v>
      </c>
    </row>
    <row r="22" spans="1:34" x14ac:dyDescent="0.2">
      <c r="A22" s="12" t="s">
        <v>32</v>
      </c>
      <c r="B22" s="9">
        <v>8.0864888150244951E-4</v>
      </c>
      <c r="C22" s="10">
        <v>98974.7421875</v>
      </c>
      <c r="D22" s="10">
        <v>80.035812377929688</v>
      </c>
      <c r="E22" s="10">
        <v>98934.71875</v>
      </c>
      <c r="F22" s="10">
        <v>5844873.5</v>
      </c>
      <c r="G22" s="13">
        <v>59.054191589355469</v>
      </c>
      <c r="I22">
        <f t="shared" si="1"/>
        <v>8.0897599335349286E-4</v>
      </c>
      <c r="K22">
        <v>85</v>
      </c>
      <c r="L22" s="23">
        <f>SUM(D89:D93)</f>
        <v>16881.008056640625</v>
      </c>
      <c r="M22" s="23">
        <f>SUM(E89:E93)</f>
        <v>138773.05078125</v>
      </c>
      <c r="N22" s="20">
        <f t="shared" si="8"/>
        <v>0.12164471388072606</v>
      </c>
      <c r="P22" s="29" t="s">
        <v>148</v>
      </c>
      <c r="Q22" s="25">
        <f t="shared" si="9"/>
        <v>0.46566139740934942</v>
      </c>
      <c r="R22" s="23">
        <f t="shared" si="10"/>
        <v>36251.680191993713</v>
      </c>
      <c r="S22" s="23">
        <f>SUM(D89:D93)</f>
        <v>16881.008056640625</v>
      </c>
      <c r="T22" s="23">
        <f>SUM(E89:E93)</f>
        <v>138773.05078125</v>
      </c>
      <c r="U22" s="23">
        <f t="shared" si="2"/>
        <v>219013.31469726562</v>
      </c>
      <c r="V22" s="30">
        <f t="shared" si="3"/>
        <v>6.0414665896130062</v>
      </c>
      <c r="W22">
        <f t="shared" si="12"/>
        <v>2.4832456665995282</v>
      </c>
      <c r="X22" s="20">
        <f t="shared" si="4"/>
        <v>0.12164471388072606</v>
      </c>
      <c r="Y22" s="28">
        <f t="shared" si="13"/>
        <v>2.4832456665995282</v>
      </c>
      <c r="Z22" s="29" t="s">
        <v>148</v>
      </c>
      <c r="AA22" s="25">
        <f t="shared" si="14"/>
        <v>0.46566139740934942</v>
      </c>
      <c r="AB22" s="23">
        <f t="shared" si="11"/>
        <v>36251.680191993713</v>
      </c>
      <c r="AC22" s="23">
        <f t="shared" si="5"/>
        <v>16881.008056640625</v>
      </c>
      <c r="AD22" s="23">
        <f t="shared" si="15"/>
        <v>138773.05078125</v>
      </c>
      <c r="AE22" s="23">
        <f t="shared" si="6"/>
        <v>219013.29651231828</v>
      </c>
      <c r="AF22" s="30">
        <f t="shared" si="7"/>
        <v>6.0414660879825366</v>
      </c>
      <c r="AG22">
        <f t="shared" si="0"/>
        <v>0.12164471388072606</v>
      </c>
      <c r="AH22">
        <f t="shared" si="0"/>
        <v>2.4832456665995282</v>
      </c>
    </row>
    <row r="23" spans="1:34" x14ac:dyDescent="0.2">
      <c r="A23" s="12" t="s">
        <v>33</v>
      </c>
      <c r="B23" s="9">
        <v>9.4044767320156097E-4</v>
      </c>
      <c r="C23" s="10">
        <v>98894.703125</v>
      </c>
      <c r="D23" s="10">
        <v>93.005294799804688</v>
      </c>
      <c r="E23" s="10">
        <v>98848.203125</v>
      </c>
      <c r="F23" s="10">
        <v>5745938.5</v>
      </c>
      <c r="G23" s="13">
        <v>58.101581573486328</v>
      </c>
      <c r="I23">
        <f t="shared" si="1"/>
        <v>9.4089009065944707E-4</v>
      </c>
      <c r="K23">
        <v>90</v>
      </c>
      <c r="L23" s="23">
        <f>SUM(D94:D98)</f>
        <v>12891.08251953125</v>
      </c>
      <c r="M23" s="23">
        <f>SUM(E94:E98)</f>
        <v>61809.64892578125</v>
      </c>
      <c r="N23" s="20">
        <f t="shared" si="8"/>
        <v>0.20856100533770039</v>
      </c>
      <c r="P23" s="29" t="s">
        <v>149</v>
      </c>
      <c r="Q23" s="25">
        <f t="shared" si="9"/>
        <v>0.66549484857595376</v>
      </c>
      <c r="R23" s="23">
        <f t="shared" si="10"/>
        <v>19370.672135353088</v>
      </c>
      <c r="S23" s="23">
        <f>SUM(D94:D98)</f>
        <v>12891.08251953125</v>
      </c>
      <c r="T23" s="23">
        <f>SUM(E94:E98)</f>
        <v>61809.64892578125</v>
      </c>
      <c r="U23" s="23">
        <f t="shared" si="2"/>
        <v>80240.263916015625</v>
      </c>
      <c r="V23" s="30">
        <f t="shared" si="3"/>
        <v>4.1423582700349604</v>
      </c>
      <c r="W23">
        <f t="shared" si="12"/>
        <v>2.281553996889746</v>
      </c>
      <c r="X23" s="20">
        <f t="shared" si="4"/>
        <v>0.20856100533770039</v>
      </c>
      <c r="Y23" s="28">
        <f t="shared" si="13"/>
        <v>2.281553996889746</v>
      </c>
      <c r="Z23" s="29" t="s">
        <v>149</v>
      </c>
      <c r="AA23" s="25">
        <f t="shared" si="14"/>
        <v>0.66549484857595376</v>
      </c>
      <c r="AB23" s="23">
        <f t="shared" si="11"/>
        <v>19370.672135353088</v>
      </c>
      <c r="AC23" s="23">
        <f t="shared" si="5"/>
        <v>12891.08251953125</v>
      </c>
      <c r="AD23" s="23">
        <f t="shared" si="15"/>
        <v>61809.64892578125</v>
      </c>
      <c r="AE23" s="23">
        <f t="shared" si="6"/>
        <v>80240.245731068295</v>
      </c>
      <c r="AF23" s="30">
        <f t="shared" si="7"/>
        <v>4.1423573312473332</v>
      </c>
      <c r="AG23">
        <f t="shared" si="0"/>
        <v>0.20856100533770039</v>
      </c>
      <c r="AH23">
        <f t="shared" si="0"/>
        <v>2.281553996889746</v>
      </c>
    </row>
    <row r="24" spans="1:34" x14ac:dyDescent="0.2">
      <c r="A24" s="12" t="s">
        <v>34</v>
      </c>
      <c r="B24" s="9">
        <v>1.0774021502584219E-3</v>
      </c>
      <c r="C24" s="10">
        <v>98801.6953125</v>
      </c>
      <c r="D24" s="10">
        <v>106.44915771484375</v>
      </c>
      <c r="E24" s="10">
        <v>98748.46875</v>
      </c>
      <c r="F24" s="10">
        <v>5647090.5</v>
      </c>
      <c r="G24" s="13">
        <v>57.155807495117188</v>
      </c>
      <c r="I24">
        <f t="shared" si="1"/>
        <v>1.0779828696315227E-3</v>
      </c>
      <c r="K24">
        <v>95</v>
      </c>
      <c r="L24" s="23">
        <f>SUM(D99:D103)</f>
        <v>5387.8971557617188</v>
      </c>
      <c r="M24" s="23">
        <f>SUM(E99:E103)</f>
        <v>16213.929931640625</v>
      </c>
      <c r="N24" s="20">
        <f>L24/M24</f>
        <v>0.33230050817276097</v>
      </c>
      <c r="P24" s="29" t="s">
        <v>150</v>
      </c>
      <c r="Q24" s="25">
        <f>S24/R24</f>
        <v>0.83151827125063149</v>
      </c>
      <c r="R24" s="23">
        <f t="shared" si="10"/>
        <v>6479.5896158218384</v>
      </c>
      <c r="S24" s="23">
        <f>SUM(D99:D103)</f>
        <v>5387.8971557617188</v>
      </c>
      <c r="T24" s="23">
        <f>SUM(E99:E103)</f>
        <v>16213.929931640625</v>
      </c>
      <c r="U24" s="23">
        <f t="shared" si="2"/>
        <v>18430.614990234375</v>
      </c>
      <c r="V24" s="30">
        <f t="shared" si="3"/>
        <v>2.8444108474448084</v>
      </c>
      <c r="W24">
        <f t="shared" si="12"/>
        <v>1.9962273444359135</v>
      </c>
      <c r="X24" s="20">
        <f t="shared" si="4"/>
        <v>0.33230050817276097</v>
      </c>
      <c r="Y24" s="28">
        <f t="shared" si="13"/>
        <v>1.9962273444359135</v>
      </c>
      <c r="Z24" s="29" t="s">
        <v>150</v>
      </c>
      <c r="AA24" s="25">
        <f t="shared" si="14"/>
        <v>0.8315182712506316</v>
      </c>
      <c r="AB24" s="23">
        <f t="shared" si="11"/>
        <v>6479.5896158218384</v>
      </c>
      <c r="AC24" s="23">
        <f t="shared" si="5"/>
        <v>5387.8971557617197</v>
      </c>
      <c r="AD24" s="23">
        <f t="shared" si="15"/>
        <v>16213.929931640621</v>
      </c>
      <c r="AE24" s="23">
        <f t="shared" si="6"/>
        <v>18430.596805287038</v>
      </c>
      <c r="AF24" s="30">
        <f t="shared" si="7"/>
        <v>2.8444080409480366</v>
      </c>
      <c r="AG24">
        <f t="shared" si="0"/>
        <v>0.33230050817276097</v>
      </c>
      <c r="AH24">
        <f t="shared" si="0"/>
        <v>1.9962273444359135</v>
      </c>
    </row>
    <row r="25" spans="1:34" x14ac:dyDescent="0.2">
      <c r="A25" s="12" t="s">
        <v>35</v>
      </c>
      <c r="B25" s="9">
        <v>1.2110578827559948E-3</v>
      </c>
      <c r="C25" s="10">
        <v>98695.25</v>
      </c>
      <c r="D25" s="10">
        <v>119.52565765380859</v>
      </c>
      <c r="E25" s="10">
        <v>98635.484375</v>
      </c>
      <c r="F25" s="10">
        <v>5548342</v>
      </c>
      <c r="G25" s="13">
        <v>56.216911315917969</v>
      </c>
      <c r="I25">
        <f t="shared" si="1"/>
        <v>1.2117916631238584E-3</v>
      </c>
      <c r="K25">
        <v>100</v>
      </c>
      <c r="L25" s="23">
        <f>D104</f>
        <v>1091.701416015625</v>
      </c>
      <c r="M25" s="23">
        <f>E104</f>
        <v>2216.68505859375</v>
      </c>
      <c r="N25" s="20">
        <f>L25/M25</f>
        <v>0.49249279313868477</v>
      </c>
      <c r="P25" s="29" t="s">
        <v>151</v>
      </c>
      <c r="Q25" s="25">
        <v>1</v>
      </c>
      <c r="R25" s="23">
        <f t="shared" si="10"/>
        <v>1091.6924600601196</v>
      </c>
      <c r="S25" s="23">
        <f>D104</f>
        <v>1091.701416015625</v>
      </c>
      <c r="T25" s="23">
        <f>E104</f>
        <v>2216.68505859375</v>
      </c>
      <c r="U25" s="23">
        <f t="shared" si="2"/>
        <v>2216.68505859375</v>
      </c>
      <c r="V25" s="30">
        <f t="shared" si="3"/>
        <v>2.0305032229238598</v>
      </c>
      <c r="W25">
        <f t="shared" si="12"/>
        <v>2.0304865653504143</v>
      </c>
      <c r="X25" s="20">
        <f t="shared" si="4"/>
        <v>0.49249279313868477</v>
      </c>
      <c r="Y25" s="28">
        <f t="shared" si="13"/>
        <v>2.0304865653504143</v>
      </c>
      <c r="Z25" s="29" t="s">
        <v>151</v>
      </c>
      <c r="AA25" s="25">
        <v>1</v>
      </c>
      <c r="AB25" s="23">
        <f t="shared" si="11"/>
        <v>1091.6924600601187</v>
      </c>
      <c r="AC25" s="23">
        <f t="shared" si="5"/>
        <v>1091.6924600601187</v>
      </c>
      <c r="AD25" s="23">
        <f t="shared" si="15"/>
        <v>2216.6668736464148</v>
      </c>
      <c r="AE25" s="23">
        <f t="shared" si="6"/>
        <v>2216.6668736464148</v>
      </c>
      <c r="AF25" s="30">
        <f t="shared" si="7"/>
        <v>2.0304865653504143</v>
      </c>
      <c r="AG25">
        <f t="shared" si="0"/>
        <v>0.49249279313868477</v>
      </c>
      <c r="AH25">
        <f t="shared" si="0"/>
        <v>2.0304865653504143</v>
      </c>
    </row>
    <row r="26" spans="1:34" x14ac:dyDescent="0.2">
      <c r="A26" s="12" t="s">
        <v>36</v>
      </c>
      <c r="B26" s="9">
        <v>1.3240550179034472E-3</v>
      </c>
      <c r="C26" s="10">
        <v>98575.7265625</v>
      </c>
      <c r="D26" s="10">
        <v>130.51968383789062</v>
      </c>
      <c r="E26" s="10">
        <v>98510.46875</v>
      </c>
      <c r="F26" s="10">
        <v>5449706.5</v>
      </c>
      <c r="G26" s="13">
        <v>55.284465789794922</v>
      </c>
      <c r="I26">
        <f t="shared" si="1"/>
        <v>1.3249321162923675E-3</v>
      </c>
      <c r="P26" s="31"/>
      <c r="Q26" s="23"/>
      <c r="R26" s="32"/>
    </row>
    <row r="27" spans="1:34" x14ac:dyDescent="0.2">
      <c r="A27" s="12" t="s">
        <v>37</v>
      </c>
      <c r="B27" s="9">
        <v>1.4066334115341306E-3</v>
      </c>
      <c r="C27" s="10">
        <v>98445.203125</v>
      </c>
      <c r="D27" s="10">
        <v>138.476318359375</v>
      </c>
      <c r="E27" s="10">
        <v>98375.96875</v>
      </c>
      <c r="F27" s="10">
        <v>5351196</v>
      </c>
      <c r="G27" s="13">
        <v>54.357101440429688</v>
      </c>
      <c r="I27">
        <f t="shared" si="1"/>
        <v>1.4076234279459129E-3</v>
      </c>
      <c r="K27" t="s">
        <v>152</v>
      </c>
      <c r="L27" s="23">
        <f>SUM(L22:L25)</f>
        <v>36251.689147949219</v>
      </c>
      <c r="M27" s="23">
        <f>SUM(M22:M25)</f>
        <v>219013.31469726562</v>
      </c>
      <c r="N27" s="20">
        <f>L27/M27</f>
        <v>0.16552276375552166</v>
      </c>
      <c r="P27" s="31"/>
      <c r="Q27" s="23"/>
      <c r="R27" s="32"/>
      <c r="X27" s="25"/>
    </row>
    <row r="28" spans="1:34" x14ac:dyDescent="0.2">
      <c r="A28" s="12" t="s">
        <v>38</v>
      </c>
      <c r="B28" s="9">
        <v>1.4650810044258833E-3</v>
      </c>
      <c r="C28" s="10">
        <v>98306.7265625</v>
      </c>
      <c r="D28" s="10">
        <v>144.02731323242188</v>
      </c>
      <c r="E28" s="10">
        <v>98234.71875</v>
      </c>
      <c r="F28" s="10">
        <v>5252820</v>
      </c>
      <c r="G28" s="13">
        <v>53.432964324951172</v>
      </c>
      <c r="I28">
        <f t="shared" si="1"/>
        <v>1.4661548896878363E-3</v>
      </c>
      <c r="P28" s="31"/>
      <c r="Q28" s="23"/>
      <c r="R28" s="32"/>
      <c r="Z28" s="29"/>
    </row>
    <row r="29" spans="1:34" x14ac:dyDescent="0.2">
      <c r="A29" s="12" t="s">
        <v>39</v>
      </c>
      <c r="B29" s="9">
        <v>1.5140902251005173E-3</v>
      </c>
      <c r="C29" s="10">
        <v>98162.703125</v>
      </c>
      <c r="D29" s="10">
        <v>148.62718200683594</v>
      </c>
      <c r="E29" s="10">
        <v>98088.390625</v>
      </c>
      <c r="F29" s="10">
        <v>5154585.5</v>
      </c>
      <c r="G29" s="13">
        <v>52.510631561279297</v>
      </c>
      <c r="I29">
        <f t="shared" si="1"/>
        <v>1.5152372371471554E-3</v>
      </c>
      <c r="P29" s="31"/>
      <c r="Q29" s="23"/>
      <c r="R29" s="32"/>
      <c r="Z29" s="29"/>
    </row>
    <row r="30" spans="1:34" x14ac:dyDescent="0.2">
      <c r="A30" s="12" t="s">
        <v>40</v>
      </c>
      <c r="B30" s="9">
        <v>1.56379584223032E-3</v>
      </c>
      <c r="C30" s="10">
        <v>98014.078125</v>
      </c>
      <c r="D30" s="10">
        <v>153.27400207519531</v>
      </c>
      <c r="E30" s="10">
        <v>97937.4375</v>
      </c>
      <c r="F30" s="10">
        <v>5056497</v>
      </c>
      <c r="G30" s="13">
        <v>51.589496612548828</v>
      </c>
      <c r="I30">
        <f t="shared" si="1"/>
        <v>1.5650195266258147E-3</v>
      </c>
      <c r="P30" s="31"/>
      <c r="Q30" s="23"/>
      <c r="R30" s="32"/>
      <c r="Z30" s="29"/>
    </row>
    <row r="31" spans="1:34" x14ac:dyDescent="0.2">
      <c r="A31" s="12" t="s">
        <v>41</v>
      </c>
      <c r="B31" s="9">
        <v>1.6135203186422586E-3</v>
      </c>
      <c r="C31" s="10">
        <v>97860.8046875</v>
      </c>
      <c r="D31" s="10">
        <v>157.900390625</v>
      </c>
      <c r="E31" s="10">
        <v>97781.859375</v>
      </c>
      <c r="F31" s="10">
        <v>4958559.5</v>
      </c>
      <c r="G31" s="13">
        <v>50.669513702392578</v>
      </c>
      <c r="I31">
        <f t="shared" si="1"/>
        <v>1.6148229501286265E-3</v>
      </c>
      <c r="P31" s="31"/>
      <c r="Q31" s="23"/>
      <c r="R31" s="32"/>
    </row>
    <row r="32" spans="1:34" x14ac:dyDescent="0.2">
      <c r="A32" s="12" t="s">
        <v>42</v>
      </c>
      <c r="B32" s="9">
        <v>1.6686918679624796E-3</v>
      </c>
      <c r="C32" s="10">
        <v>97702.90625</v>
      </c>
      <c r="D32" s="10">
        <v>163.03604125976562</v>
      </c>
      <c r="E32" s="10">
        <v>97621.390625</v>
      </c>
      <c r="F32" s="10">
        <v>4860777.5</v>
      </c>
      <c r="G32" s="13">
        <v>49.750591278076172</v>
      </c>
      <c r="I32">
        <f t="shared" si="1"/>
        <v>1.6700852161187457E-3</v>
      </c>
      <c r="P32" s="31"/>
      <c r="Q32" s="23"/>
      <c r="R32" s="32"/>
    </row>
    <row r="33" spans="1:18" x14ac:dyDescent="0.2">
      <c r="A33" s="12" t="s">
        <v>43</v>
      </c>
      <c r="B33" s="9">
        <v>1.7301775515079498E-3</v>
      </c>
      <c r="C33" s="10">
        <v>97539.8671875</v>
      </c>
      <c r="D33" s="10">
        <v>168.76129150390625</v>
      </c>
      <c r="E33" s="10">
        <v>97455.484375</v>
      </c>
      <c r="F33" s="10">
        <v>4763156</v>
      </c>
      <c r="G33" s="13">
        <v>48.832916259765625</v>
      </c>
      <c r="I33">
        <f t="shared" si="1"/>
        <v>1.7316756731158185E-3</v>
      </c>
      <c r="P33" s="31"/>
      <c r="Q33" s="23"/>
      <c r="R33" s="32"/>
    </row>
    <row r="34" spans="1:18" x14ac:dyDescent="0.2">
      <c r="A34" s="12" t="s">
        <v>44</v>
      </c>
      <c r="B34" s="9">
        <v>1.7938076052814722E-3</v>
      </c>
      <c r="C34" s="10">
        <v>97371.109375</v>
      </c>
      <c r="D34" s="10">
        <v>174.6650390625</v>
      </c>
      <c r="E34" s="10">
        <v>97283.78125</v>
      </c>
      <c r="F34" s="10">
        <v>4665700.5</v>
      </c>
      <c r="G34" s="13">
        <v>47.916683197021484</v>
      </c>
      <c r="I34">
        <f t="shared" si="1"/>
        <v>1.7954178673796153E-3</v>
      </c>
      <c r="P34" s="31"/>
      <c r="Q34" s="23"/>
      <c r="R34" s="32"/>
    </row>
    <row r="35" spans="1:18" x14ac:dyDescent="0.2">
      <c r="A35" s="12" t="s">
        <v>45</v>
      </c>
      <c r="B35" s="9">
        <v>1.8578277667984366E-3</v>
      </c>
      <c r="C35" s="10">
        <v>97196.4453125</v>
      </c>
      <c r="D35" s="10">
        <v>180.57424926757812</v>
      </c>
      <c r="E35" s="10">
        <v>97106.15625</v>
      </c>
      <c r="F35" s="10">
        <v>4568417</v>
      </c>
      <c r="G35" s="13">
        <v>47.00189208984375</v>
      </c>
      <c r="I35">
        <f t="shared" si="1"/>
        <v>1.8595551120640524E-3</v>
      </c>
      <c r="P35" s="31"/>
      <c r="Q35" s="23"/>
      <c r="R35" s="32"/>
    </row>
    <row r="36" spans="1:18" x14ac:dyDescent="0.2">
      <c r="A36" s="12" t="s">
        <v>46</v>
      </c>
      <c r="B36" s="9">
        <v>1.9260755507275462E-3</v>
      </c>
      <c r="C36" s="10">
        <v>97015.8671875</v>
      </c>
      <c r="D36" s="10">
        <v>186.85989379882812</v>
      </c>
      <c r="E36" s="10">
        <v>96922.4375</v>
      </c>
      <c r="F36" s="10">
        <v>4471311</v>
      </c>
      <c r="G36" s="13">
        <v>46.088451385498047</v>
      </c>
      <c r="I36">
        <f t="shared" si="1"/>
        <v>1.927932258191795E-3</v>
      </c>
      <c r="P36" s="31"/>
      <c r="Q36" s="23"/>
      <c r="R36" s="32"/>
    </row>
    <row r="37" spans="1:18" x14ac:dyDescent="0.2">
      <c r="A37" s="12" t="s">
        <v>47</v>
      </c>
      <c r="B37" s="9">
        <v>1.997677143663168E-3</v>
      </c>
      <c r="C37" s="10">
        <v>96829.0078125</v>
      </c>
      <c r="D37" s="10">
        <v>193.43309020996094</v>
      </c>
      <c r="E37" s="10">
        <v>96732.296875</v>
      </c>
      <c r="F37" s="10">
        <v>4374388.5</v>
      </c>
      <c r="G37" s="13">
        <v>45.176425933837891</v>
      </c>
      <c r="I37">
        <f t="shared" si="1"/>
        <v>1.9996743224232568E-3</v>
      </c>
      <c r="P37" s="31"/>
      <c r="Q37" s="23"/>
      <c r="R37" s="32"/>
    </row>
    <row r="38" spans="1:18" x14ac:dyDescent="0.2">
      <c r="A38" s="12" t="s">
        <v>48</v>
      </c>
      <c r="B38" s="9">
        <v>2.0715969149023294E-3</v>
      </c>
      <c r="C38" s="10">
        <v>96635.578125</v>
      </c>
      <c r="D38" s="10">
        <v>200.18997192382812</v>
      </c>
      <c r="E38" s="10">
        <v>96535.484375</v>
      </c>
      <c r="F38" s="10">
        <v>4277656</v>
      </c>
      <c r="G38" s="13">
        <v>44.265850067138672</v>
      </c>
      <c r="I38">
        <f t="shared" si="1"/>
        <v>2.0737449365890552E-3</v>
      </c>
      <c r="P38" s="31"/>
      <c r="Q38" s="23"/>
      <c r="R38" s="32"/>
    </row>
    <row r="39" spans="1:18" x14ac:dyDescent="0.2">
      <c r="A39" s="12" t="s">
        <v>49</v>
      </c>
      <c r="B39" s="9">
        <v>2.1540096495300531E-3</v>
      </c>
      <c r="C39" s="10">
        <v>96435.390625</v>
      </c>
      <c r="D39" s="10">
        <v>207.72276306152344</v>
      </c>
      <c r="E39" s="10">
        <v>96331.53125</v>
      </c>
      <c r="F39" s="10">
        <v>4181120.5</v>
      </c>
      <c r="G39" s="13">
        <v>43.356700897216797</v>
      </c>
      <c r="I39">
        <f t="shared" si="1"/>
        <v>2.1563319960360688E-3</v>
      </c>
      <c r="P39" s="31"/>
      <c r="Q39" s="23"/>
      <c r="R39" s="32"/>
    </row>
    <row r="40" spans="1:18" x14ac:dyDescent="0.2">
      <c r="A40" s="12" t="s">
        <v>50</v>
      </c>
      <c r="B40" s="9">
        <v>2.2412030957639217E-3</v>
      </c>
      <c r="C40" s="10">
        <v>96227.6640625</v>
      </c>
      <c r="D40" s="10">
        <v>215.66574096679688</v>
      </c>
      <c r="E40" s="10">
        <v>96119.828125</v>
      </c>
      <c r="F40" s="10">
        <v>4084789</v>
      </c>
      <c r="G40" s="13">
        <v>42.44921875</v>
      </c>
      <c r="I40">
        <f t="shared" si="1"/>
        <v>2.2437175052615801E-3</v>
      </c>
      <c r="P40" s="31"/>
      <c r="Q40" s="23"/>
      <c r="R40" s="32"/>
    </row>
    <row r="41" spans="1:18" x14ac:dyDescent="0.2">
      <c r="A41" s="12" t="s">
        <v>51</v>
      </c>
      <c r="B41" s="9">
        <v>2.3234072141349316E-3</v>
      </c>
      <c r="C41" s="10">
        <v>96012</v>
      </c>
      <c r="D41" s="10">
        <v>223.07496643066406</v>
      </c>
      <c r="E41" s="10">
        <v>95900.4609375</v>
      </c>
      <c r="F41" s="10">
        <v>3988669.25</v>
      </c>
      <c r="G41" s="13">
        <v>41.543445587158203</v>
      </c>
      <c r="I41">
        <f t="shared" si="1"/>
        <v>2.3261094289843496E-3</v>
      </c>
      <c r="P41" s="31"/>
      <c r="Q41" s="23"/>
      <c r="R41" s="32"/>
    </row>
    <row r="42" spans="1:18" x14ac:dyDescent="0.2">
      <c r="A42" s="12" t="s">
        <v>52</v>
      </c>
      <c r="B42" s="9">
        <v>2.3989693727344275E-3</v>
      </c>
      <c r="C42" s="10">
        <v>95788.921875</v>
      </c>
      <c r="D42" s="10">
        <v>229.79469299316406</v>
      </c>
      <c r="E42" s="10">
        <v>95674.0234375</v>
      </c>
      <c r="F42" s="10">
        <v>3892768.75</v>
      </c>
      <c r="G42" s="13">
        <v>40.639030456542969</v>
      </c>
      <c r="I42">
        <f t="shared" si="1"/>
        <v>2.4018504159938432E-3</v>
      </c>
      <c r="P42" s="31"/>
      <c r="Q42" s="23"/>
      <c r="R42" s="32"/>
    </row>
    <row r="43" spans="1:18" x14ac:dyDescent="0.2">
      <c r="A43" s="12" t="s">
        <v>53</v>
      </c>
      <c r="B43" s="9">
        <v>2.4761124514043331E-3</v>
      </c>
      <c r="C43" s="10">
        <v>95559.125</v>
      </c>
      <c r="D43" s="10">
        <v>236.61514282226562</v>
      </c>
      <c r="E43" s="10">
        <v>95440.8125</v>
      </c>
      <c r="F43" s="10">
        <v>3797094.75</v>
      </c>
      <c r="G43" s="13">
        <v>39.735553741455078</v>
      </c>
      <c r="I43">
        <f t="shared" si="1"/>
        <v>2.4791819833078813E-3</v>
      </c>
      <c r="P43" s="31"/>
      <c r="Q43" s="23"/>
      <c r="R43" s="32"/>
    </row>
    <row r="44" spans="1:18" x14ac:dyDescent="0.2">
      <c r="A44" s="12" t="s">
        <v>54</v>
      </c>
      <c r="B44" s="9">
        <v>2.5685860309749842E-3</v>
      </c>
      <c r="C44" s="10">
        <v>95322.5078125</v>
      </c>
      <c r="D44" s="10">
        <v>244.84405517578125</v>
      </c>
      <c r="E44" s="10">
        <v>95200.0859375</v>
      </c>
      <c r="F44" s="10">
        <v>3701654</v>
      </c>
      <c r="G44" s="13">
        <v>38.83294677734375</v>
      </c>
      <c r="I44">
        <f t="shared" si="1"/>
        <v>2.5718890142234149E-3</v>
      </c>
      <c r="P44" s="31"/>
      <c r="Q44" s="23"/>
      <c r="R44" s="32"/>
    </row>
    <row r="45" spans="1:18" x14ac:dyDescent="0.2">
      <c r="A45" s="12" t="s">
        <v>55</v>
      </c>
      <c r="B45" s="9">
        <v>2.6853166054934263E-3</v>
      </c>
      <c r="C45" s="10">
        <v>95077.6640625</v>
      </c>
      <c r="D45" s="10">
        <v>255.31362915039062</v>
      </c>
      <c r="E45" s="10">
        <v>94950.0078125</v>
      </c>
      <c r="F45" s="10">
        <v>3606453.75</v>
      </c>
      <c r="G45" s="13">
        <v>37.931659698486328</v>
      </c>
      <c r="I45">
        <f t="shared" si="1"/>
        <v>2.6889268893433311E-3</v>
      </c>
      <c r="P45" s="31"/>
      <c r="Q45" s="23"/>
      <c r="R45" s="32"/>
    </row>
    <row r="46" spans="1:18" x14ac:dyDescent="0.2">
      <c r="A46" s="12" t="s">
        <v>56</v>
      </c>
      <c r="B46" s="9">
        <v>2.8238182421773672E-3</v>
      </c>
      <c r="C46" s="10">
        <v>94822.3515625</v>
      </c>
      <c r="D46" s="10">
        <v>267.76107788085938</v>
      </c>
      <c r="E46" s="10">
        <v>94688.46875</v>
      </c>
      <c r="F46" s="10">
        <v>3511503.75</v>
      </c>
      <c r="G46" s="13">
        <v>37.032447814941406</v>
      </c>
      <c r="I46">
        <f t="shared" si="1"/>
        <v>2.8278108350005332E-3</v>
      </c>
      <c r="P46" s="31"/>
      <c r="Q46" s="23"/>
      <c r="R46" s="32"/>
    </row>
    <row r="47" spans="1:18" x14ac:dyDescent="0.2">
      <c r="A47" s="12" t="s">
        <v>57</v>
      </c>
      <c r="B47" s="9">
        <v>2.9829477425664663E-3</v>
      </c>
      <c r="C47" s="10">
        <v>94554.59375</v>
      </c>
      <c r="D47" s="10">
        <v>282.05142211914062</v>
      </c>
      <c r="E47" s="10">
        <v>94413.5625</v>
      </c>
      <c r="F47" s="10">
        <v>3416815.25</v>
      </c>
      <c r="G47" s="13">
        <v>36.135898590087891</v>
      </c>
      <c r="I47">
        <f t="shared" si="1"/>
        <v>2.9874036595022098E-3</v>
      </c>
      <c r="P47" s="31"/>
      <c r="Q47" s="23"/>
      <c r="R47" s="32"/>
    </row>
    <row r="48" spans="1:18" x14ac:dyDescent="0.2">
      <c r="A48" s="12" t="s">
        <v>58</v>
      </c>
      <c r="B48" s="9">
        <v>3.161679720506072E-3</v>
      </c>
      <c r="C48" s="10">
        <v>94272.5390625</v>
      </c>
      <c r="D48" s="10">
        <v>298.0595703125</v>
      </c>
      <c r="E48" s="10">
        <v>94123.5078125</v>
      </c>
      <c r="F48" s="10">
        <v>3322401.75</v>
      </c>
      <c r="G48" s="13">
        <v>35.242519378662109</v>
      </c>
      <c r="I48">
        <f t="shared" si="1"/>
        <v>3.1666857434409857E-3</v>
      </c>
      <c r="P48" s="31"/>
      <c r="Q48" s="23"/>
      <c r="R48" s="32"/>
    </row>
    <row r="49" spans="1:18" x14ac:dyDescent="0.2">
      <c r="A49" s="12" t="s">
        <v>59</v>
      </c>
      <c r="B49" s="9">
        <v>3.364895936101675E-3</v>
      </c>
      <c r="C49" s="10">
        <v>93974.4765625</v>
      </c>
      <c r="D49" s="10">
        <v>316.21432495117188</v>
      </c>
      <c r="E49" s="10">
        <v>93816.375</v>
      </c>
      <c r="F49" s="10">
        <v>3228278.25</v>
      </c>
      <c r="G49" s="13">
        <v>34.352714538574219</v>
      </c>
      <c r="I49">
        <f t="shared" si="1"/>
        <v>3.3705664384407505E-3</v>
      </c>
      <c r="P49" s="31"/>
      <c r="Q49" s="23"/>
      <c r="R49" s="32"/>
    </row>
    <row r="50" spans="1:18" x14ac:dyDescent="0.2">
      <c r="A50" s="12" t="s">
        <v>60</v>
      </c>
      <c r="B50" s="9">
        <v>3.5961952526122332E-3</v>
      </c>
      <c r="C50" s="10">
        <v>93658.265625</v>
      </c>
      <c r="D50" s="10">
        <v>336.81341552734375</v>
      </c>
      <c r="E50" s="10">
        <v>93489.859375</v>
      </c>
      <c r="F50" s="10">
        <v>3134462</v>
      </c>
      <c r="G50" s="13">
        <v>33.467010498046875</v>
      </c>
      <c r="I50">
        <f t="shared" si="1"/>
        <v>3.6026732501151949E-3</v>
      </c>
      <c r="P50" s="31"/>
      <c r="Q50" s="23"/>
      <c r="R50" s="32"/>
    </row>
    <row r="51" spans="1:18" x14ac:dyDescent="0.2">
      <c r="A51" s="12" t="s">
        <v>61</v>
      </c>
      <c r="B51" s="9">
        <v>3.8563646376132965E-3</v>
      </c>
      <c r="C51" s="10">
        <v>93321.453125</v>
      </c>
      <c r="D51" s="10">
        <v>359.88156127929688</v>
      </c>
      <c r="E51" s="10">
        <v>93141.515625</v>
      </c>
      <c r="F51" s="10">
        <v>3040972</v>
      </c>
      <c r="G51" s="13">
        <v>32.585990905761719</v>
      </c>
      <c r="I51">
        <f t="shared" si="1"/>
        <v>3.8638147432368121E-3</v>
      </c>
      <c r="P51" s="31"/>
      <c r="Q51" s="23"/>
      <c r="R51" s="32"/>
    </row>
    <row r="52" spans="1:18" x14ac:dyDescent="0.2">
      <c r="A52" s="12" t="s">
        <v>62</v>
      </c>
      <c r="B52" s="9">
        <v>4.1536404751241207E-3</v>
      </c>
      <c r="C52" s="10">
        <v>92961.5703125</v>
      </c>
      <c r="D52" s="10">
        <v>386.12893676757812</v>
      </c>
      <c r="E52" s="10">
        <v>92768.5</v>
      </c>
      <c r="F52" s="10">
        <v>2947830.5</v>
      </c>
      <c r="G52" s="13">
        <v>31.710205078125</v>
      </c>
      <c r="I52">
        <f t="shared" si="1"/>
        <v>4.1622850080315858E-3</v>
      </c>
      <c r="P52" s="31"/>
      <c r="Q52" s="23"/>
      <c r="R52" s="32"/>
    </row>
    <row r="53" spans="1:18" x14ac:dyDescent="0.2">
      <c r="A53" s="12" t="s">
        <v>63</v>
      </c>
      <c r="B53" s="9">
        <v>4.4969003647565842E-3</v>
      </c>
      <c r="C53" s="10">
        <v>92575.4375</v>
      </c>
      <c r="D53" s="10">
        <v>416.30252075195312</v>
      </c>
      <c r="E53" s="10">
        <v>92367.28125</v>
      </c>
      <c r="F53" s="10">
        <v>2855062</v>
      </c>
      <c r="G53" s="13">
        <v>30.840383529663086</v>
      </c>
      <c r="I53">
        <f t="shared" si="1"/>
        <v>4.5070344727933965E-3</v>
      </c>
      <c r="P53" s="31"/>
      <c r="Q53" s="23"/>
      <c r="R53" s="32"/>
    </row>
    <row r="54" spans="1:18" x14ac:dyDescent="0.2">
      <c r="A54" s="12" t="s">
        <v>64</v>
      </c>
      <c r="B54" s="9">
        <v>4.8669925890862942E-3</v>
      </c>
      <c r="C54" s="10">
        <v>92159.1328125</v>
      </c>
      <c r="D54" s="10">
        <v>448.53781127929688</v>
      </c>
      <c r="E54" s="10">
        <v>91934.859375</v>
      </c>
      <c r="F54" s="10">
        <v>2762694.75</v>
      </c>
      <c r="G54" s="13">
        <v>29.977437973022461</v>
      </c>
      <c r="I54">
        <f t="shared" si="1"/>
        <v>4.8788654741910497E-3</v>
      </c>
      <c r="P54" s="31"/>
      <c r="Q54" s="23"/>
      <c r="R54" s="32"/>
    </row>
    <row r="55" spans="1:18" x14ac:dyDescent="0.2">
      <c r="A55" s="12" t="s">
        <v>65</v>
      </c>
      <c r="B55" s="9">
        <v>5.2841110154986382E-3</v>
      </c>
      <c r="C55" s="10">
        <v>91710.59375</v>
      </c>
      <c r="D55" s="10">
        <v>484.60894775390625</v>
      </c>
      <c r="E55" s="10">
        <v>91468.2890625</v>
      </c>
      <c r="F55" s="10">
        <v>2670760</v>
      </c>
      <c r="G55" s="13">
        <v>29.121608734130859</v>
      </c>
      <c r="I55">
        <f t="shared" si="1"/>
        <v>5.2981088060231937E-3</v>
      </c>
      <c r="P55" s="31"/>
      <c r="Q55" s="23"/>
      <c r="R55" s="32"/>
    </row>
    <row r="56" spans="1:18" x14ac:dyDescent="0.2">
      <c r="A56" s="12" t="s">
        <v>66</v>
      </c>
      <c r="B56" s="9">
        <v>5.7893632911145687E-3</v>
      </c>
      <c r="C56" s="10">
        <v>91225.984375</v>
      </c>
      <c r="D56" s="10">
        <v>528.140380859375</v>
      </c>
      <c r="E56" s="10">
        <v>90961.9140625</v>
      </c>
      <c r="F56" s="10">
        <v>2579291.5</v>
      </c>
      <c r="G56" s="13">
        <v>28.273649215698242</v>
      </c>
      <c r="I56">
        <f t="shared" si="1"/>
        <v>5.8061704868753016E-3</v>
      </c>
      <c r="P56" s="31"/>
      <c r="Q56" s="23"/>
      <c r="R56" s="32"/>
    </row>
    <row r="57" spans="1:18" x14ac:dyDescent="0.2">
      <c r="A57" s="12" t="s">
        <v>67</v>
      </c>
      <c r="B57" s="9">
        <v>6.3846479170024395E-3</v>
      </c>
      <c r="C57" s="10">
        <v>90697.84375</v>
      </c>
      <c r="D57" s="10">
        <v>579.07379150390625</v>
      </c>
      <c r="E57" s="10">
        <v>90408.3125</v>
      </c>
      <c r="F57" s="10">
        <v>2488329.75</v>
      </c>
      <c r="G57" s="13">
        <v>27.435379028320312</v>
      </c>
      <c r="I57">
        <f t="shared" si="1"/>
        <v>6.4050945703018874E-3</v>
      </c>
      <c r="P57" s="31"/>
      <c r="Q57" s="23"/>
      <c r="R57" s="32"/>
    </row>
    <row r="58" spans="1:18" x14ac:dyDescent="0.2">
      <c r="A58" s="12" t="s">
        <v>68</v>
      </c>
      <c r="B58" s="9">
        <v>7.03398697078228E-3</v>
      </c>
      <c r="C58" s="10">
        <v>90118.7734375</v>
      </c>
      <c r="D58" s="10">
        <v>633.894287109375</v>
      </c>
      <c r="E58" s="10">
        <v>89801.828125</v>
      </c>
      <c r="F58" s="10">
        <v>2397921.25</v>
      </c>
      <c r="G58" s="13">
        <v>26.608453750610352</v>
      </c>
      <c r="I58">
        <f t="shared" si="1"/>
        <v>7.0588127251376602E-3</v>
      </c>
      <c r="P58" s="31"/>
      <c r="Q58" s="23"/>
      <c r="R58" s="32"/>
    </row>
    <row r="59" spans="1:18" x14ac:dyDescent="0.2">
      <c r="A59" s="12" t="s">
        <v>69</v>
      </c>
      <c r="B59" s="9">
        <v>7.6871882192790508E-3</v>
      </c>
      <c r="C59" s="10">
        <v>89484.8828125</v>
      </c>
      <c r="D59" s="10">
        <v>687.88714599609375</v>
      </c>
      <c r="E59" s="10">
        <v>89140.9375</v>
      </c>
      <c r="F59" s="10">
        <v>2308119.5</v>
      </c>
      <c r="G59" s="13">
        <v>25.793401718139648</v>
      </c>
      <c r="I59">
        <f t="shared" si="1"/>
        <v>7.7168489056567728E-3</v>
      </c>
      <c r="P59" s="31"/>
      <c r="Q59" s="23"/>
      <c r="R59" s="32"/>
    </row>
    <row r="60" spans="1:18" x14ac:dyDescent="0.2">
      <c r="A60" s="12" t="s">
        <v>70</v>
      </c>
      <c r="B60" s="9">
        <v>8.3381235599517822E-3</v>
      </c>
      <c r="C60" s="10">
        <v>88796.9921875</v>
      </c>
      <c r="D60" s="10">
        <v>740.4002685546875</v>
      </c>
      <c r="E60" s="10">
        <v>88426.796875</v>
      </c>
      <c r="F60" s="10">
        <v>2218978.5</v>
      </c>
      <c r="G60" s="13">
        <v>24.989343643188477</v>
      </c>
      <c r="I60">
        <f t="shared" si="1"/>
        <v>8.3730305147354401E-3</v>
      </c>
      <c r="P60" s="31"/>
      <c r="Q60" s="23"/>
      <c r="R60" s="32"/>
    </row>
    <row r="61" spans="1:18" x14ac:dyDescent="0.2">
      <c r="A61" s="12" t="s">
        <v>71</v>
      </c>
      <c r="B61" s="9">
        <v>9.0236011892557144E-3</v>
      </c>
      <c r="C61" s="10">
        <v>88056.59375</v>
      </c>
      <c r="D61" s="10">
        <v>794.58758544921875</v>
      </c>
      <c r="E61" s="10">
        <v>87659.296875</v>
      </c>
      <c r="F61" s="10">
        <v>2130551.75</v>
      </c>
      <c r="G61" s="13">
        <v>24.195255279541016</v>
      </c>
      <c r="I61">
        <f t="shared" si="1"/>
        <v>9.0644987328871805E-3</v>
      </c>
      <c r="P61" s="31"/>
      <c r="Q61" s="23"/>
      <c r="R61" s="32"/>
    </row>
    <row r="62" spans="1:18" x14ac:dyDescent="0.2">
      <c r="A62" s="12" t="s">
        <v>72</v>
      </c>
      <c r="B62" s="9">
        <v>9.767536073923111E-3</v>
      </c>
      <c r="C62" s="10">
        <v>87262.0078125</v>
      </c>
      <c r="D62" s="10">
        <v>852.3348388671875</v>
      </c>
      <c r="E62" s="10">
        <v>86835.84375</v>
      </c>
      <c r="F62" s="10">
        <v>2042892.5</v>
      </c>
      <c r="G62" s="13">
        <v>23.411018371582031</v>
      </c>
      <c r="I62">
        <f t="shared" si="1"/>
        <v>9.8154725290751556E-3</v>
      </c>
      <c r="P62" s="31"/>
      <c r="Q62" s="23"/>
      <c r="R62" s="32"/>
    </row>
    <row r="63" spans="1:18" x14ac:dyDescent="0.2">
      <c r="A63" s="12" t="s">
        <v>73</v>
      </c>
      <c r="B63" s="9">
        <v>1.0574713349342346E-2</v>
      </c>
      <c r="C63" s="10">
        <v>86409.671875</v>
      </c>
      <c r="D63" s="10">
        <v>913.75750732421875</v>
      </c>
      <c r="E63" s="10">
        <v>85952.796875</v>
      </c>
      <c r="F63" s="10">
        <v>1956056.625</v>
      </c>
      <c r="G63" s="13">
        <v>22.63701057434082</v>
      </c>
      <c r="I63">
        <f t="shared" si="1"/>
        <v>1.06309223265077E-2</v>
      </c>
      <c r="P63" s="31"/>
      <c r="Q63" s="23"/>
      <c r="R63" s="32"/>
    </row>
    <row r="64" spans="1:18" x14ac:dyDescent="0.2">
      <c r="A64" s="12" t="s">
        <v>74</v>
      </c>
      <c r="B64" s="9">
        <v>1.1445218697190285E-2</v>
      </c>
      <c r="C64" s="10">
        <v>85495.9140625</v>
      </c>
      <c r="D64" s="10">
        <v>978.5194091796875</v>
      </c>
      <c r="E64" s="10">
        <v>85006.65625</v>
      </c>
      <c r="F64" s="10">
        <v>1870103.875</v>
      </c>
      <c r="G64" s="13">
        <v>21.873605728149414</v>
      </c>
      <c r="I64">
        <f t="shared" si="1"/>
        <v>1.1511091629129777E-2</v>
      </c>
      <c r="P64" s="31"/>
      <c r="Q64" s="23"/>
      <c r="R64" s="32"/>
    </row>
    <row r="65" spans="1:18" x14ac:dyDescent="0.2">
      <c r="A65" s="12" t="s">
        <v>75</v>
      </c>
      <c r="B65" s="9">
        <v>1.2342289090156555E-2</v>
      </c>
      <c r="C65" s="10">
        <v>84517.3984375</v>
      </c>
      <c r="D65" s="10">
        <v>1043.13818359375</v>
      </c>
      <c r="E65" s="10">
        <v>83995.828125</v>
      </c>
      <c r="F65" s="10">
        <v>1785097.25</v>
      </c>
      <c r="G65" s="13">
        <v>21.121063232421875</v>
      </c>
      <c r="I65">
        <f t="shared" si="1"/>
        <v>1.2418928497750911E-2</v>
      </c>
      <c r="P65" s="31"/>
      <c r="Q65" s="23"/>
      <c r="R65" s="32"/>
    </row>
    <row r="66" spans="1:18" x14ac:dyDescent="0.2">
      <c r="A66" s="12" t="s">
        <v>76</v>
      </c>
      <c r="B66" s="9">
        <v>1.3242370449006557E-2</v>
      </c>
      <c r="C66" s="10">
        <v>83474.2578125</v>
      </c>
      <c r="D66" s="10">
        <v>1105.3970947265625</v>
      </c>
      <c r="E66" s="10">
        <v>82921.5625</v>
      </c>
      <c r="F66" s="10">
        <v>1701101.375</v>
      </c>
      <c r="G66" s="13">
        <v>20.378753662109375</v>
      </c>
      <c r="I66">
        <f t="shared" si="1"/>
        <v>1.3330635137592379E-2</v>
      </c>
      <c r="P66" s="31"/>
      <c r="Q66" s="23"/>
      <c r="R66" s="32"/>
    </row>
    <row r="67" spans="1:18" x14ac:dyDescent="0.2">
      <c r="A67" s="12" t="s">
        <v>77</v>
      </c>
      <c r="B67" s="9">
        <v>1.4130250550806522E-2</v>
      </c>
      <c r="C67" s="10">
        <v>82368.859375</v>
      </c>
      <c r="D67" s="10">
        <v>1163.892578125</v>
      </c>
      <c r="E67" s="10">
        <v>81786.9140625</v>
      </c>
      <c r="F67" s="10">
        <v>1618179.875</v>
      </c>
      <c r="G67" s="13">
        <v>19.645528793334961</v>
      </c>
      <c r="I67">
        <f t="shared" si="1"/>
        <v>1.4230792192936581E-2</v>
      </c>
      <c r="P67" s="31"/>
      <c r="Q67" s="23"/>
      <c r="R67" s="32"/>
    </row>
    <row r="68" spans="1:18" x14ac:dyDescent="0.2">
      <c r="A68" s="12" t="s">
        <v>78</v>
      </c>
      <c r="B68" s="9">
        <v>1.5032565221190453E-2</v>
      </c>
      <c r="C68" s="10">
        <v>81204.96875</v>
      </c>
      <c r="D68" s="10">
        <v>1220.718994140625</v>
      </c>
      <c r="E68" s="10">
        <v>80594.609375</v>
      </c>
      <c r="F68" s="10">
        <v>1536392.875</v>
      </c>
      <c r="G68" s="13">
        <v>18.919937133789062</v>
      </c>
      <c r="I68">
        <f t="shared" si="1"/>
        <v>1.5146409959761964E-2</v>
      </c>
      <c r="P68" s="31"/>
      <c r="Q68" s="23"/>
      <c r="R68" s="32"/>
    </row>
    <row r="69" spans="1:18" x14ac:dyDescent="0.2">
      <c r="A69" s="12" t="s">
        <v>79</v>
      </c>
      <c r="B69" s="9">
        <v>1.6003068536520004E-2</v>
      </c>
      <c r="C69" s="10">
        <v>79984.25</v>
      </c>
      <c r="D69" s="10">
        <v>1279.993408203125</v>
      </c>
      <c r="E69" s="10">
        <v>79344.25</v>
      </c>
      <c r="F69" s="10">
        <v>1455798.25</v>
      </c>
      <c r="G69" s="13">
        <v>18.201061248779297</v>
      </c>
      <c r="I69">
        <f t="shared" ref="I69:I104" si="16">D69/E69</f>
        <v>1.6132150826343748E-2</v>
      </c>
      <c r="P69" s="31"/>
      <c r="Q69" s="23"/>
      <c r="R69" s="32"/>
    </row>
    <row r="70" spans="1:18" x14ac:dyDescent="0.2">
      <c r="A70" s="12" t="s">
        <v>80</v>
      </c>
      <c r="B70" s="9">
        <v>1.7154382541775703E-2</v>
      </c>
      <c r="C70" s="10">
        <v>78704.2578125</v>
      </c>
      <c r="D70" s="10">
        <v>1350.1229248046875</v>
      </c>
      <c r="E70" s="10">
        <v>78029.1953125</v>
      </c>
      <c r="F70" s="10">
        <v>1376454</v>
      </c>
      <c r="G70" s="13">
        <v>17.48893928527832</v>
      </c>
      <c r="I70">
        <f t="shared" si="16"/>
        <v>1.730279185114706E-2</v>
      </c>
      <c r="P70" s="31"/>
      <c r="Q70" s="23"/>
      <c r="R70" s="32"/>
    </row>
    <row r="71" spans="1:18" x14ac:dyDescent="0.2">
      <c r="A71" s="12" t="s">
        <v>81</v>
      </c>
      <c r="B71" s="9">
        <v>1.8348079174757004E-2</v>
      </c>
      <c r="C71" s="10">
        <v>77354.1328125</v>
      </c>
      <c r="D71" s="10">
        <v>1419.2998046875</v>
      </c>
      <c r="E71" s="10">
        <v>76644.484375</v>
      </c>
      <c r="F71" s="10">
        <v>1298424.875</v>
      </c>
      <c r="G71" s="13">
        <v>16.78546142578125</v>
      </c>
      <c r="I71">
        <f t="shared" si="16"/>
        <v>1.8517964029130439E-2</v>
      </c>
      <c r="P71" s="31"/>
      <c r="Q71" s="23"/>
      <c r="R71" s="32"/>
    </row>
    <row r="72" spans="1:18" x14ac:dyDescent="0.2">
      <c r="A72" s="12" t="s">
        <v>82</v>
      </c>
      <c r="B72" s="9">
        <v>1.9600942730903625E-2</v>
      </c>
      <c r="C72" s="10">
        <v>75934.8359375</v>
      </c>
      <c r="D72" s="10">
        <v>1488.3944091796875</v>
      </c>
      <c r="E72" s="10">
        <v>75190.640625</v>
      </c>
      <c r="F72" s="10">
        <v>1221780.375</v>
      </c>
      <c r="G72" s="13">
        <v>16.089853286743164</v>
      </c>
      <c r="I72">
        <f t="shared" si="16"/>
        <v>1.9794942519545632E-2</v>
      </c>
      <c r="P72" s="31"/>
      <c r="Q72" s="23"/>
      <c r="R72" s="32"/>
    </row>
    <row r="73" spans="1:18" x14ac:dyDescent="0.2">
      <c r="A73" s="12" t="s">
        <v>83</v>
      </c>
      <c r="B73" s="9">
        <v>2.0914861932396889E-2</v>
      </c>
      <c r="C73" s="10">
        <v>74446.4453125</v>
      </c>
      <c r="D73" s="10">
        <v>1557.037109375</v>
      </c>
      <c r="E73" s="10">
        <v>73667.921875</v>
      </c>
      <c r="F73" s="10">
        <v>1146589.75</v>
      </c>
      <c r="G73" s="13">
        <v>15.401537895202637</v>
      </c>
      <c r="I73">
        <f t="shared" si="16"/>
        <v>2.1135890218499528E-2</v>
      </c>
      <c r="P73" s="31"/>
      <c r="Q73" s="23"/>
      <c r="R73" s="32"/>
    </row>
    <row r="74" spans="1:18" x14ac:dyDescent="0.2">
      <c r="A74" s="12" t="s">
        <v>84</v>
      </c>
      <c r="B74" s="9">
        <v>2.2303273901343346E-2</v>
      </c>
      <c r="C74" s="10">
        <v>72889.40625</v>
      </c>
      <c r="D74" s="10">
        <v>1625.67236328125</v>
      </c>
      <c r="E74" s="10">
        <v>72076.5703125</v>
      </c>
      <c r="F74" s="10">
        <v>1072921.75</v>
      </c>
      <c r="G74" s="13">
        <v>14.719858169555664</v>
      </c>
      <c r="I74">
        <f t="shared" si="16"/>
        <v>2.2554796326085941E-2</v>
      </c>
      <c r="P74" s="31"/>
      <c r="Q74" s="23"/>
      <c r="R74" s="32"/>
    </row>
    <row r="75" spans="1:18" x14ac:dyDescent="0.2">
      <c r="A75" s="12" t="s">
        <v>85</v>
      </c>
      <c r="B75" s="9">
        <v>2.3929566144943237E-2</v>
      </c>
      <c r="C75" s="10">
        <v>71263.734375</v>
      </c>
      <c r="D75" s="10">
        <v>1705.310302734375</v>
      </c>
      <c r="E75" s="10">
        <v>70411.078125</v>
      </c>
      <c r="F75" s="10">
        <v>1000845.25</v>
      </c>
      <c r="G75" s="13">
        <v>14.044243812561035</v>
      </c>
      <c r="I75">
        <f t="shared" si="16"/>
        <v>2.4219346559456973E-2</v>
      </c>
      <c r="P75" s="31"/>
      <c r="Q75" s="23"/>
      <c r="R75" s="32"/>
    </row>
    <row r="76" spans="1:18" x14ac:dyDescent="0.2">
      <c r="A76" s="12" t="s">
        <v>86</v>
      </c>
      <c r="B76" s="9">
        <v>2.555256150662899E-2</v>
      </c>
      <c r="C76" s="10">
        <v>69558.421875</v>
      </c>
      <c r="D76" s="10">
        <v>1777.3958740234375</v>
      </c>
      <c r="E76" s="10">
        <v>68669.71875</v>
      </c>
      <c r="F76" s="10">
        <v>930434.125</v>
      </c>
      <c r="G76" s="13">
        <v>13.376296997070312</v>
      </c>
      <c r="I76">
        <f t="shared" si="16"/>
        <v>2.5883255478215243E-2</v>
      </c>
      <c r="P76" s="31"/>
      <c r="Q76" s="23"/>
      <c r="R76" s="32"/>
    </row>
    <row r="77" spans="1:18" x14ac:dyDescent="0.2">
      <c r="A77" s="12" t="s">
        <v>87</v>
      </c>
      <c r="B77" s="9">
        <v>2.8257314115762711E-2</v>
      </c>
      <c r="C77" s="10">
        <v>67781.0234375</v>
      </c>
      <c r="D77" s="10">
        <v>1915.3096923828125</v>
      </c>
      <c r="E77" s="10">
        <v>66823.3671875</v>
      </c>
      <c r="F77" s="10">
        <v>861764.4375</v>
      </c>
      <c r="G77" s="13">
        <v>12.713948249816895</v>
      </c>
      <c r="I77">
        <f t="shared" si="16"/>
        <v>2.8662274485639672E-2</v>
      </c>
      <c r="P77" s="31"/>
      <c r="Q77" s="23"/>
      <c r="R77" s="32"/>
    </row>
    <row r="78" spans="1:18" x14ac:dyDescent="0.2">
      <c r="A78" s="12" t="s">
        <v>88</v>
      </c>
      <c r="B78" s="9">
        <v>3.0698023736476898E-2</v>
      </c>
      <c r="C78" s="10">
        <v>65865.7109375</v>
      </c>
      <c r="D78" s="10">
        <v>2021.9471435546875</v>
      </c>
      <c r="E78" s="10">
        <v>64854.73828125</v>
      </c>
      <c r="F78" s="10">
        <v>794941.0625</v>
      </c>
      <c r="G78" s="13">
        <v>12.069118499755859</v>
      </c>
      <c r="I78">
        <f t="shared" si="16"/>
        <v>3.1176552355917035E-2</v>
      </c>
      <c r="P78" s="31"/>
      <c r="Q78" s="23"/>
      <c r="R78" s="32"/>
    </row>
    <row r="79" spans="1:18" x14ac:dyDescent="0.2">
      <c r="A79" s="12" t="s">
        <v>89</v>
      </c>
      <c r="B79" s="9">
        <v>3.3891424536705017E-2</v>
      </c>
      <c r="C79" s="10">
        <v>63843.765625</v>
      </c>
      <c r="D79" s="10">
        <v>2163.756103515625</v>
      </c>
      <c r="E79" s="10">
        <v>62761.88671875</v>
      </c>
      <c r="F79" s="10">
        <v>730086.3125</v>
      </c>
      <c r="G79" s="13">
        <v>11.435514450073242</v>
      </c>
      <c r="I79">
        <f t="shared" si="16"/>
        <v>3.4475638267726053E-2</v>
      </c>
      <c r="P79" s="31"/>
      <c r="Q79" s="23"/>
      <c r="R79" s="32"/>
    </row>
    <row r="80" spans="1:18" x14ac:dyDescent="0.2">
      <c r="A80" s="12" t="s">
        <v>90</v>
      </c>
      <c r="B80" s="9">
        <v>3.7078347057104111E-2</v>
      </c>
      <c r="C80" s="10">
        <v>61680.0078125</v>
      </c>
      <c r="D80" s="10">
        <v>2286.99267578125</v>
      </c>
      <c r="E80" s="10">
        <v>60536.51171875</v>
      </c>
      <c r="F80" s="10">
        <v>667324.4375</v>
      </c>
      <c r="G80" s="13">
        <v>10.819136619567871</v>
      </c>
      <c r="I80">
        <f t="shared" si="16"/>
        <v>3.7778732385614133E-2</v>
      </c>
      <c r="P80" s="31"/>
      <c r="Q80" s="23"/>
      <c r="R80" s="32"/>
    </row>
    <row r="81" spans="1:18" x14ac:dyDescent="0.2">
      <c r="A81" s="12" t="s">
        <v>91</v>
      </c>
      <c r="B81" s="9">
        <v>4.1153542697429657E-2</v>
      </c>
      <c r="C81" s="10">
        <v>59393.015625</v>
      </c>
      <c r="D81" s="10">
        <v>2444.23291015625</v>
      </c>
      <c r="E81" s="10">
        <v>58170.8984375</v>
      </c>
      <c r="F81" s="10">
        <v>606787.9375</v>
      </c>
      <c r="G81" s="13">
        <v>10.216485977172852</v>
      </c>
      <c r="I81">
        <f t="shared" si="16"/>
        <v>4.2018139238168786E-2</v>
      </c>
      <c r="P81" s="31"/>
      <c r="Q81" s="23"/>
      <c r="R81" s="32"/>
    </row>
    <row r="82" spans="1:18" x14ac:dyDescent="0.2">
      <c r="A82" s="12" t="s">
        <v>92</v>
      </c>
      <c r="B82" s="9">
        <v>4.5299533754587173E-2</v>
      </c>
      <c r="C82" s="10">
        <v>56948.78125</v>
      </c>
      <c r="D82" s="10">
        <v>2579.753173828125</v>
      </c>
      <c r="E82" s="10">
        <v>55658.90625</v>
      </c>
      <c r="F82" s="10">
        <v>548617</v>
      </c>
      <c r="G82" s="13">
        <v>9.6335163116455078</v>
      </c>
      <c r="I82">
        <f t="shared" si="16"/>
        <v>4.634933288557256E-2</v>
      </c>
      <c r="P82" s="31"/>
      <c r="Q82" s="23"/>
      <c r="R82" s="32"/>
    </row>
    <row r="83" spans="1:18" x14ac:dyDescent="0.2">
      <c r="A83" s="12" t="s">
        <v>93</v>
      </c>
      <c r="B83" s="9">
        <v>4.9951493740081787E-2</v>
      </c>
      <c r="C83" s="10">
        <v>54369.02734375</v>
      </c>
      <c r="D83" s="10">
        <v>2715.814208984375</v>
      </c>
      <c r="E83" s="10">
        <v>53011.12109375</v>
      </c>
      <c r="F83" s="10">
        <v>492958.125</v>
      </c>
      <c r="G83" s="13">
        <v>9.0668926239013672</v>
      </c>
      <c r="I83">
        <f t="shared" si="16"/>
        <v>5.1231027621194164E-2</v>
      </c>
      <c r="P83" s="31"/>
      <c r="Q83" s="23"/>
      <c r="R83" s="32"/>
    </row>
    <row r="84" spans="1:18" x14ac:dyDescent="0.2">
      <c r="A84" s="12" t="s">
        <v>94</v>
      </c>
      <c r="B84" s="9">
        <v>5.4931037127971649E-2</v>
      </c>
      <c r="C84" s="10">
        <v>51653.21484375</v>
      </c>
      <c r="D84" s="10">
        <v>2837.36474609375</v>
      </c>
      <c r="E84" s="10">
        <v>50234.53125</v>
      </c>
      <c r="F84" s="10">
        <v>439947</v>
      </c>
      <c r="G84" s="13">
        <v>8.5173206329345703</v>
      </c>
      <c r="I84">
        <f t="shared" si="16"/>
        <v>5.6482357364362787E-2</v>
      </c>
      <c r="P84" s="31"/>
      <c r="Q84" s="23"/>
      <c r="R84" s="32"/>
    </row>
    <row r="85" spans="1:18" x14ac:dyDescent="0.2">
      <c r="A85" s="12" t="s">
        <v>95</v>
      </c>
      <c r="B85" s="9">
        <v>6.0709252953529358E-2</v>
      </c>
      <c r="C85" s="10">
        <v>48815.8515625</v>
      </c>
      <c r="D85" s="10">
        <v>2963.573974609375</v>
      </c>
      <c r="E85" s="10">
        <v>47334.0625</v>
      </c>
      <c r="F85" s="10">
        <v>389712.46875</v>
      </c>
      <c r="G85" s="13">
        <v>7.9833178520202637</v>
      </c>
      <c r="I85">
        <f t="shared" si="16"/>
        <v>6.2609753274597446E-2</v>
      </c>
      <c r="P85" s="31"/>
      <c r="Q85" s="23"/>
      <c r="R85" s="32"/>
    </row>
    <row r="86" spans="1:18" x14ac:dyDescent="0.2">
      <c r="A86" s="12" t="s">
        <v>96</v>
      </c>
      <c r="B86" s="9">
        <v>6.7465536296367645E-2</v>
      </c>
      <c r="C86" s="10">
        <v>45852.27734375</v>
      </c>
      <c r="D86" s="10">
        <v>3093.448486328125</v>
      </c>
      <c r="E86" s="10">
        <v>44305.5546875</v>
      </c>
      <c r="F86" s="10">
        <v>342378.40625</v>
      </c>
      <c r="G86" s="13">
        <v>7.4669880867004395</v>
      </c>
      <c r="I86">
        <f t="shared" si="16"/>
        <v>6.9820782250603106E-2</v>
      </c>
      <c r="P86" s="31"/>
      <c r="Q86" s="23"/>
      <c r="R86" s="32"/>
    </row>
    <row r="87" spans="1:18" x14ac:dyDescent="0.2">
      <c r="A87" s="12" t="s">
        <v>97</v>
      </c>
      <c r="B87" s="9">
        <v>7.4944697320461273E-2</v>
      </c>
      <c r="C87" s="10">
        <v>42758.828125</v>
      </c>
      <c r="D87" s="10">
        <v>3204.54736328125</v>
      </c>
      <c r="E87" s="10">
        <v>41156.5546875</v>
      </c>
      <c r="F87" s="10">
        <v>298072.84375</v>
      </c>
      <c r="G87" s="13">
        <v>6.9710245132446289</v>
      </c>
      <c r="I87">
        <f t="shared" si="16"/>
        <v>7.7862381523751065E-2</v>
      </c>
      <c r="P87" s="31"/>
      <c r="Q87" s="23"/>
      <c r="R87" s="32"/>
    </row>
    <row r="88" spans="1:18" x14ac:dyDescent="0.2">
      <c r="A88" s="12" t="s">
        <v>98</v>
      </c>
      <c r="B88" s="9">
        <v>8.3495087921619415E-2</v>
      </c>
      <c r="C88" s="10">
        <v>39554.28125</v>
      </c>
      <c r="D88" s="10">
        <v>3302.588134765625</v>
      </c>
      <c r="E88" s="10">
        <v>37902.984375</v>
      </c>
      <c r="F88" s="10">
        <v>256916.296875</v>
      </c>
      <c r="G88" s="13">
        <v>6.4952840805053711</v>
      </c>
      <c r="I88">
        <f t="shared" si="16"/>
        <v>8.7132667498972499E-2</v>
      </c>
      <c r="P88" s="31"/>
      <c r="Q88" s="23"/>
      <c r="R88" s="32"/>
    </row>
    <row r="89" spans="1:18" x14ac:dyDescent="0.2">
      <c r="A89" s="12" t="s">
        <v>99</v>
      </c>
      <c r="B89" s="9">
        <v>9.3584820628166199E-2</v>
      </c>
      <c r="C89" s="10">
        <v>36251.69140625</v>
      </c>
      <c r="D89" s="10">
        <v>3392.608154296875</v>
      </c>
      <c r="E89" s="10">
        <v>34555.38671875</v>
      </c>
      <c r="F89" s="10">
        <v>219013.3125</v>
      </c>
      <c r="G89" s="13">
        <v>6.0414648056030273</v>
      </c>
      <c r="I89">
        <f t="shared" si="16"/>
        <v>9.817885072187664E-2</v>
      </c>
      <c r="P89" s="31"/>
      <c r="Q89" s="23"/>
      <c r="R89" s="32"/>
    </row>
    <row r="90" spans="1:18" x14ac:dyDescent="0.2">
      <c r="A90" s="12" t="s">
        <v>100</v>
      </c>
      <c r="B90" s="9">
        <v>0.10395655035972595</v>
      </c>
      <c r="C90" s="10">
        <v>32859.08203125</v>
      </c>
      <c r="D90" s="10">
        <v>3415.916748046875</v>
      </c>
      <c r="E90" s="10">
        <v>31151.125</v>
      </c>
      <c r="F90" s="10">
        <v>184457.921875</v>
      </c>
      <c r="G90" s="13">
        <v>5.6136054992675781</v>
      </c>
      <c r="I90">
        <f t="shared" si="16"/>
        <v>0.10965628843410551</v>
      </c>
      <c r="P90" s="31"/>
      <c r="Q90" s="23"/>
      <c r="R90" s="32"/>
    </row>
    <row r="91" spans="1:18" x14ac:dyDescent="0.2">
      <c r="A91" s="12" t="s">
        <v>101</v>
      </c>
      <c r="B91" s="9">
        <v>0.11631549149751663</v>
      </c>
      <c r="C91" s="10">
        <v>29443.166015625</v>
      </c>
      <c r="D91" s="10">
        <v>3424.6962890625</v>
      </c>
      <c r="E91" s="10">
        <v>27730.81640625</v>
      </c>
      <c r="F91" s="10">
        <v>153306.796875</v>
      </c>
      <c r="G91" s="13">
        <v>5.2068719863891602</v>
      </c>
      <c r="I91">
        <f t="shared" si="16"/>
        <v>0.12349785303438229</v>
      </c>
      <c r="P91" s="31"/>
      <c r="Q91" s="23"/>
      <c r="R91" s="32"/>
    </row>
    <row r="92" spans="1:18" x14ac:dyDescent="0.2">
      <c r="A92" s="12" t="s">
        <v>102</v>
      </c>
      <c r="B92" s="9">
        <v>0.12980477511882782</v>
      </c>
      <c r="C92" s="10">
        <v>26018.46875</v>
      </c>
      <c r="D92" s="10">
        <v>3377.321533203125</v>
      </c>
      <c r="E92" s="10">
        <v>24329.80859375</v>
      </c>
      <c r="F92" s="10">
        <v>125575.984375</v>
      </c>
      <c r="G92" s="13">
        <v>4.8264169692993164</v>
      </c>
      <c r="I92">
        <f t="shared" si="16"/>
        <v>0.138814143160613</v>
      </c>
      <c r="P92" s="31"/>
      <c r="Q92" s="23"/>
      <c r="R92" s="32"/>
    </row>
    <row r="93" spans="1:18" x14ac:dyDescent="0.2">
      <c r="A93" s="12" t="s">
        <v>103</v>
      </c>
      <c r="B93" s="9">
        <v>0.14444786310195923</v>
      </c>
      <c r="C93" s="10">
        <v>22641.146484375</v>
      </c>
      <c r="D93" s="10">
        <v>3270.46533203125</v>
      </c>
      <c r="E93" s="10">
        <v>21005.9140625</v>
      </c>
      <c r="F93" s="10">
        <v>101246.1796875</v>
      </c>
      <c r="G93" s="13">
        <v>4.4717779159545898</v>
      </c>
      <c r="I93">
        <f t="shared" si="16"/>
        <v>0.15569259791792267</v>
      </c>
      <c r="P93" s="31"/>
      <c r="Q93" s="23"/>
      <c r="R93" s="32"/>
    </row>
    <row r="94" spans="1:18" x14ac:dyDescent="0.2">
      <c r="A94" s="12" t="s">
        <v>104</v>
      </c>
      <c r="B94" s="9">
        <v>0.16024972498416901</v>
      </c>
      <c r="C94" s="10">
        <v>19370.681640625</v>
      </c>
      <c r="D94" s="10">
        <v>3104.146484375</v>
      </c>
      <c r="E94" s="10">
        <v>17818.609375</v>
      </c>
      <c r="F94" s="10">
        <v>80240.265625</v>
      </c>
      <c r="G94" s="13">
        <v>4.1423563957214355</v>
      </c>
      <c r="I94">
        <f t="shared" si="16"/>
        <v>0.17420812247729067</v>
      </c>
      <c r="P94" s="31"/>
      <c r="Q94" s="23"/>
      <c r="R94" s="32"/>
    </row>
    <row r="95" spans="1:18" x14ac:dyDescent="0.2">
      <c r="A95" s="12" t="s">
        <v>105</v>
      </c>
      <c r="B95" s="9">
        <v>0.17719370126724243</v>
      </c>
      <c r="C95" s="10">
        <v>16266.53515625</v>
      </c>
      <c r="D95" s="10">
        <v>2882.32763671875</v>
      </c>
      <c r="E95" s="10">
        <v>14825.37109375</v>
      </c>
      <c r="F95" s="10">
        <v>62421.65625</v>
      </c>
      <c r="G95" s="13">
        <v>3.8374278545379639</v>
      </c>
      <c r="I95">
        <f t="shared" si="16"/>
        <v>0.19441858274521479</v>
      </c>
      <c r="P95" s="31"/>
      <c r="Q95" s="23"/>
      <c r="R95" s="32"/>
    </row>
    <row r="96" spans="1:18" x14ac:dyDescent="0.2">
      <c r="A96" s="12" t="s">
        <v>106</v>
      </c>
      <c r="B96" s="9">
        <v>0.19523854553699493</v>
      </c>
      <c r="C96" s="10">
        <v>13384.20703125</v>
      </c>
      <c r="D96" s="10">
        <v>2613.113037109375</v>
      </c>
      <c r="E96" s="10">
        <v>12077.650390625</v>
      </c>
      <c r="F96" s="10">
        <v>47596.28515625</v>
      </c>
      <c r="G96" s="13">
        <v>3.5561528205871582</v>
      </c>
      <c r="I96">
        <f t="shared" si="16"/>
        <v>0.21635938718161143</v>
      </c>
      <c r="P96" s="31"/>
      <c r="Q96" s="23"/>
      <c r="R96" s="32"/>
    </row>
    <row r="97" spans="1:18" x14ac:dyDescent="0.2">
      <c r="A97" s="12" t="s">
        <v>107</v>
      </c>
      <c r="B97" s="9">
        <v>0.21431639790534973</v>
      </c>
      <c r="C97" s="10">
        <v>10771.09375</v>
      </c>
      <c r="D97" s="10">
        <v>2308.422119140625</v>
      </c>
      <c r="E97" s="10">
        <v>9616.8828125</v>
      </c>
      <c r="F97" s="10">
        <v>35518.6328125</v>
      </c>
      <c r="G97" s="13">
        <v>3.2975883483886719</v>
      </c>
      <c r="I97">
        <f t="shared" si="16"/>
        <v>0.2400384993919385</v>
      </c>
      <c r="P97" s="31"/>
      <c r="Q97" s="23"/>
      <c r="R97" s="32"/>
    </row>
    <row r="98" spans="1:18" x14ac:dyDescent="0.2">
      <c r="A98" s="12" t="s">
        <v>108</v>
      </c>
      <c r="B98" s="9">
        <v>0.23433181643486023</v>
      </c>
      <c r="C98" s="10">
        <v>8462.671875</v>
      </c>
      <c r="D98" s="10">
        <v>1983.0732421875</v>
      </c>
      <c r="E98" s="10">
        <v>7471.13525390625</v>
      </c>
      <c r="F98" s="10">
        <v>25901.75</v>
      </c>
      <c r="G98" s="13">
        <v>3.0607059001922607</v>
      </c>
      <c r="I98">
        <f t="shared" si="16"/>
        <v>0.26543131328678049</v>
      </c>
      <c r="P98" s="31"/>
      <c r="Q98" s="23"/>
      <c r="R98" s="32"/>
    </row>
    <row r="99" spans="1:18" x14ac:dyDescent="0.2">
      <c r="A99" s="12" t="s">
        <v>109</v>
      </c>
      <c r="B99" s="9">
        <v>0.25516209006309509</v>
      </c>
      <c r="C99" s="10">
        <v>6479.5986328125</v>
      </c>
      <c r="D99" s="10">
        <v>1653.347900390625</v>
      </c>
      <c r="E99" s="10">
        <v>5652.9248046875</v>
      </c>
      <c r="F99" s="10">
        <v>18430.615234375</v>
      </c>
      <c r="G99" s="13">
        <v>2.8444068431854248</v>
      </c>
      <c r="I99">
        <f t="shared" si="16"/>
        <v>0.29247654223520558</v>
      </c>
      <c r="P99" s="31"/>
      <c r="Q99" s="23"/>
      <c r="R99" s="32"/>
    </row>
    <row r="100" spans="1:18" x14ac:dyDescent="0.2">
      <c r="A100" s="12" t="s">
        <v>110</v>
      </c>
      <c r="B100" s="9">
        <v>0.27665913105010986</v>
      </c>
      <c r="C100" s="10">
        <v>4826.2509765625</v>
      </c>
      <c r="D100" s="10">
        <v>1335.2264404296875</v>
      </c>
      <c r="E100" s="10">
        <v>4158.6376953125</v>
      </c>
      <c r="F100" s="10">
        <v>12777.6904296875</v>
      </c>
      <c r="G100" s="13">
        <v>2.6475396156311035</v>
      </c>
      <c r="I100">
        <f t="shared" si="16"/>
        <v>0.32107303839781892</v>
      </c>
      <c r="P100" s="31"/>
      <c r="Q100" s="23"/>
      <c r="R100" s="32"/>
    </row>
    <row r="101" spans="1:18" x14ac:dyDescent="0.2">
      <c r="A101" s="12" t="s">
        <v>111</v>
      </c>
      <c r="B101" s="9">
        <v>0.29865282773971558</v>
      </c>
      <c r="C101" s="10">
        <v>3491.0244140625</v>
      </c>
      <c r="D101" s="10">
        <v>1042.6043701171875</v>
      </c>
      <c r="E101" s="10">
        <v>2969.72216796875</v>
      </c>
      <c r="F101" s="10">
        <v>8619.052734375</v>
      </c>
      <c r="G101" s="13">
        <v>2.4689178466796875</v>
      </c>
      <c r="I101">
        <f t="shared" si="16"/>
        <v>0.35107808446280175</v>
      </c>
      <c r="P101" s="31"/>
      <c r="Q101" s="23"/>
      <c r="R101" s="32"/>
    </row>
    <row r="102" spans="1:18" x14ac:dyDescent="0.2">
      <c r="A102" s="12" t="s">
        <v>112</v>
      </c>
      <c r="B102" s="9">
        <v>0.32095611095428467</v>
      </c>
      <c r="C102" s="10">
        <v>2448.419921875</v>
      </c>
      <c r="D102" s="10">
        <v>785.8353271484375</v>
      </c>
      <c r="E102" s="10">
        <v>2055.502197265625</v>
      </c>
      <c r="F102" s="10">
        <v>5649.330078125</v>
      </c>
      <c r="G102" s="13">
        <v>2.3073370456695557</v>
      </c>
      <c r="I102">
        <f t="shared" si="16"/>
        <v>0.38230819125068877</v>
      </c>
      <c r="P102" s="31"/>
      <c r="Q102" s="23"/>
      <c r="R102" s="32"/>
    </row>
    <row r="103" spans="1:18" x14ac:dyDescent="0.2">
      <c r="A103" s="12" t="s">
        <v>113</v>
      </c>
      <c r="B103" s="9">
        <v>0.34337088465690613</v>
      </c>
      <c r="C103" s="10">
        <v>1662.5845947265625</v>
      </c>
      <c r="D103" s="10">
        <v>570.88311767578125</v>
      </c>
      <c r="E103" s="10">
        <v>1377.14306640625</v>
      </c>
      <c r="F103" s="10">
        <v>3593.828125</v>
      </c>
      <c r="G103" s="13">
        <v>2.1615910530090332</v>
      </c>
      <c r="I103">
        <f t="shared" si="16"/>
        <v>0.41454161996802569</v>
      </c>
      <c r="P103" s="31"/>
      <c r="Q103" s="23"/>
      <c r="R103" s="32"/>
    </row>
    <row r="104" spans="1:18" x14ac:dyDescent="0.2">
      <c r="A104" s="14" t="s">
        <v>0</v>
      </c>
      <c r="B104" s="15">
        <v>1</v>
      </c>
      <c r="C104" s="16">
        <v>1091.701416015625</v>
      </c>
      <c r="D104" s="16">
        <v>1091.701416015625</v>
      </c>
      <c r="E104" s="16">
        <v>2216.68505859375</v>
      </c>
      <c r="F104" s="16">
        <v>2216.68505859375</v>
      </c>
      <c r="G104" s="17">
        <v>2.0304865837097168</v>
      </c>
      <c r="I104">
        <f t="shared" si="16"/>
        <v>0.49249279313868477</v>
      </c>
      <c r="P104" s="31"/>
      <c r="Q104" s="23"/>
      <c r="R104" s="32"/>
    </row>
    <row r="105" spans="1:18" ht="14.5" customHeight="1" x14ac:dyDescent="0.2">
      <c r="A105" s="47" t="s">
        <v>3</v>
      </c>
      <c r="B105" s="47"/>
      <c r="C105" s="47"/>
      <c r="D105" s="47"/>
      <c r="E105" s="47"/>
      <c r="F105" s="47"/>
      <c r="G105" s="47"/>
    </row>
    <row r="106" spans="1:18" x14ac:dyDescent="0.2">
      <c r="A106" s="1"/>
      <c r="B106" s="1"/>
      <c r="C106" s="1"/>
      <c r="D106" s="1"/>
      <c r="E106" s="1"/>
      <c r="F106" s="1"/>
      <c r="G106" s="1"/>
    </row>
  </sheetData>
  <mergeCells count="3">
    <mergeCell ref="A105:G105"/>
    <mergeCell ref="A1:G1"/>
    <mergeCell ref="A2:A3"/>
  </mergeCells>
  <pageMargins left="0.7" right="0.45" top="0.75" bottom="0.75" header="0.3" footer="0.3"/>
  <pageSetup scale="9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4C488-D5C5-A54E-A7E2-1E87C575AD23}">
  <dimension ref="A1:Z53"/>
  <sheetViews>
    <sheetView tabSelected="1" topLeftCell="I22" workbookViewId="0">
      <selection activeCell="J30" sqref="J30"/>
    </sheetView>
  </sheetViews>
  <sheetFormatPr baseColWidth="10" defaultRowHeight="15" x14ac:dyDescent="0.2"/>
  <cols>
    <col min="18" max="18" width="11.83203125" bestFit="1" customWidth="1"/>
    <col min="21" max="21" width="11.83203125" bestFit="1" customWidth="1"/>
  </cols>
  <sheetData>
    <row r="1" spans="1:26" x14ac:dyDescent="0.2">
      <c r="A1" t="s">
        <v>153</v>
      </c>
    </row>
    <row r="3" spans="1:26" x14ac:dyDescent="0.2">
      <c r="F3" t="s">
        <v>154</v>
      </c>
      <c r="P3" t="s">
        <v>155</v>
      </c>
    </row>
    <row r="4" spans="1:26" x14ac:dyDescent="0.2">
      <c r="F4" s="33">
        <v>2019</v>
      </c>
      <c r="P4" s="34">
        <v>2020</v>
      </c>
      <c r="Q4" s="34"/>
    </row>
    <row r="6" spans="1:26" x14ac:dyDescent="0.2">
      <c r="B6" t="s">
        <v>120</v>
      </c>
      <c r="C6" t="s">
        <v>121</v>
      </c>
      <c r="D6" t="s">
        <v>119</v>
      </c>
      <c r="F6" t="s">
        <v>122</v>
      </c>
      <c r="G6" t="s">
        <v>123</v>
      </c>
      <c r="H6" t="s">
        <v>124</v>
      </c>
      <c r="I6" t="s">
        <v>125</v>
      </c>
      <c r="J6" t="s">
        <v>121</v>
      </c>
      <c r="K6" t="s">
        <v>126</v>
      </c>
      <c r="L6" t="s">
        <v>127</v>
      </c>
      <c r="M6" s="35" t="s">
        <v>128</v>
      </c>
      <c r="N6" s="21" t="s">
        <v>119</v>
      </c>
      <c r="P6" t="s">
        <v>122</v>
      </c>
      <c r="Q6" s="34" t="s">
        <v>119</v>
      </c>
      <c r="R6" t="s">
        <v>123</v>
      </c>
      <c r="S6" t="s">
        <v>124</v>
      </c>
      <c r="T6" t="s">
        <v>121</v>
      </c>
      <c r="U6" t="s">
        <v>126</v>
      </c>
      <c r="V6" t="s">
        <v>125</v>
      </c>
      <c r="W6" t="s">
        <v>127</v>
      </c>
      <c r="Y6" s="36" t="s">
        <v>156</v>
      </c>
      <c r="Z6" s="36">
        <v>2019</v>
      </c>
    </row>
    <row r="7" spans="1:26" x14ac:dyDescent="0.2">
      <c r="A7">
        <v>0</v>
      </c>
      <c r="B7">
        <v>608.03302001953125</v>
      </c>
      <c r="C7">
        <v>99470.40625</v>
      </c>
      <c r="D7">
        <v>6.1127026916061407E-3</v>
      </c>
      <c r="F7" t="s">
        <v>130</v>
      </c>
      <c r="G7">
        <v>6.0803303495049477E-3</v>
      </c>
      <c r="H7">
        <v>100000</v>
      </c>
      <c r="I7">
        <v>608.03302001953125</v>
      </c>
      <c r="J7">
        <v>99470.40625</v>
      </c>
      <c r="K7">
        <v>7631130.0256347656</v>
      </c>
      <c r="L7" s="37">
        <v>76.31130025634765</v>
      </c>
      <c r="M7" s="20">
        <v>0.1290049511077731</v>
      </c>
      <c r="N7">
        <v>6.1127026916061407E-3</v>
      </c>
      <c r="P7" t="s">
        <v>130</v>
      </c>
      <c r="Q7" s="34">
        <f t="shared" ref="Q7:Q28" si="0">D7*D32</f>
        <v>5.7242758892301817E-3</v>
      </c>
      <c r="R7">
        <f>(Q7)/((1+(1-M7)*Q7))</f>
        <v>5.6958772933262333E-3</v>
      </c>
      <c r="S7">
        <v>100000</v>
      </c>
      <c r="T7">
        <f>S8+V7*M7</f>
        <v>99503.89190784152</v>
      </c>
      <c r="U7">
        <f>SUM(T7:T29)</f>
        <v>7418024.7823032504</v>
      </c>
      <c r="V7">
        <f>S7*R7</f>
        <v>569.58772933262333</v>
      </c>
      <c r="W7" s="34">
        <f>U7/S7</f>
        <v>74.180247823032502</v>
      </c>
      <c r="Y7" s="38">
        <f>W7</f>
        <v>74.180247823032502</v>
      </c>
      <c r="Z7" s="38">
        <f>L7</f>
        <v>76.31130025634765</v>
      </c>
    </row>
    <row r="8" spans="1:26" x14ac:dyDescent="0.2">
      <c r="A8">
        <v>1</v>
      </c>
      <c r="B8">
        <v>101.15337944030762</v>
      </c>
      <c r="C8">
        <v>397323.3515625</v>
      </c>
      <c r="D8">
        <v>2.5458704866581679E-4</v>
      </c>
      <c r="F8" t="s">
        <v>131</v>
      </c>
      <c r="G8">
        <v>1.017721879482292E-3</v>
      </c>
      <c r="H8">
        <v>99391.966979980469</v>
      </c>
      <c r="I8">
        <v>101.15337944030762</v>
      </c>
      <c r="J8">
        <v>397323.3515625</v>
      </c>
      <c r="K8">
        <v>7531659.6193847656</v>
      </c>
      <c r="L8">
        <v>75.777347488271289</v>
      </c>
      <c r="M8" s="20">
        <v>1.5827168723891387</v>
      </c>
      <c r="N8">
        <v>2.5458704866581679E-4</v>
      </c>
      <c r="P8" t="s">
        <v>131</v>
      </c>
      <c r="Q8" s="34">
        <f t="shared" si="0"/>
        <v>2.5675943995208216E-4</v>
      </c>
      <c r="R8">
        <f>(Q8*4)/((1+(4-M8)*Q8))</f>
        <v>1.0264007136724115E-3</v>
      </c>
      <c r="S8">
        <f>S7-V7</f>
        <v>99430.412270667381</v>
      </c>
      <c r="T8">
        <f>(S9*4)+V8*M8</f>
        <v>397474.9521746941</v>
      </c>
      <c r="U8">
        <f>SUM(T8:T29)</f>
        <v>7318520.8903954094</v>
      </c>
      <c r="V8">
        <f t="shared" ref="V8:V27" si="1">S8*R8</f>
        <v>102.05544611535511</v>
      </c>
      <c r="W8">
        <f t="shared" ref="W8:W28" si="2">U8/S8</f>
        <v>73.604450824090776</v>
      </c>
      <c r="Y8" s="38"/>
      <c r="Z8" s="38">
        <f>Y7-Z7</f>
        <v>-2.1310524333151477</v>
      </c>
    </row>
    <row r="9" spans="1:26" x14ac:dyDescent="0.2">
      <c r="A9">
        <v>5</v>
      </c>
      <c r="B9">
        <v>62.094274520874023</v>
      </c>
      <c r="C9">
        <v>496287.078125</v>
      </c>
      <c r="D9">
        <v>1.2511765318466405E-4</v>
      </c>
      <c r="F9" t="s">
        <v>132</v>
      </c>
      <c r="G9">
        <v>6.2537783979379352E-4</v>
      </c>
      <c r="H9">
        <v>99290.813600540161</v>
      </c>
      <c r="I9">
        <v>62.094274520874023</v>
      </c>
      <c r="J9">
        <v>496287.078125</v>
      </c>
      <c r="K9">
        <v>7134336.2678222656</v>
      </c>
      <c r="L9">
        <v>71.852933913147567</v>
      </c>
      <c r="M9" s="20">
        <v>2.310704102925476</v>
      </c>
      <c r="N9">
        <v>1.2511765318466405E-4</v>
      </c>
      <c r="P9" t="s">
        <v>132</v>
      </c>
      <c r="Q9" s="34">
        <f t="shared" si="0"/>
        <v>1.2061949838796092E-4</v>
      </c>
      <c r="R9">
        <f>(Q9*5)/((1+(5-M9)*Q9))</f>
        <v>6.0290192169675438E-4</v>
      </c>
      <c r="S9">
        <f t="shared" ref="S9:S28" si="3">S8-V8</f>
        <v>99328.356824552029</v>
      </c>
      <c r="T9">
        <f>(S10*5)+V9*M9</f>
        <v>496480.73494625406</v>
      </c>
      <c r="U9">
        <f>SUM(T9:T29)</f>
        <v>6921045.9382207152</v>
      </c>
      <c r="V9">
        <f t="shared" si="1"/>
        <v>59.885257208503347</v>
      </c>
      <c r="W9">
        <f t="shared" si="2"/>
        <v>69.678449935959961</v>
      </c>
      <c r="Y9" s="30"/>
      <c r="Z9" s="30"/>
    </row>
    <row r="10" spans="1:26" x14ac:dyDescent="0.2">
      <c r="A10">
        <v>10</v>
      </c>
      <c r="B10">
        <v>88.371928215026855</v>
      </c>
      <c r="C10">
        <v>495979.4296875</v>
      </c>
      <c r="D10">
        <v>1.7817659952290167E-4</v>
      </c>
      <c r="F10" t="s">
        <v>133</v>
      </c>
      <c r="G10">
        <v>8.9058821695237164E-4</v>
      </c>
      <c r="H10">
        <v>99228.719326019287</v>
      </c>
      <c r="I10">
        <v>88.371928215026855</v>
      </c>
      <c r="J10">
        <v>495979.4296875</v>
      </c>
      <c r="K10">
        <v>6638049.1896972656</v>
      </c>
      <c r="L10">
        <v>66.89645129740849</v>
      </c>
      <c r="M10" s="20">
        <v>3.1423179745836936</v>
      </c>
      <c r="N10">
        <v>1.7817659952290167E-4</v>
      </c>
      <c r="P10" t="s">
        <v>133</v>
      </c>
      <c r="Q10" s="34">
        <f t="shared" si="0"/>
        <v>1.9958719060457117E-4</v>
      </c>
      <c r="R10">
        <f t="shared" ref="R10:R27" si="4">(Q10*5)/((1+(5-M10)*Q10))</f>
        <v>9.9756608590756629E-4</v>
      </c>
      <c r="S10">
        <f t="shared" si="3"/>
        <v>99268.471567343528</v>
      </c>
      <c r="T10">
        <f t="shared" ref="T10:T27" si="5">(S11*5)+V10*M10</f>
        <v>496158.39741768176</v>
      </c>
      <c r="U10">
        <f>SUM(T10:T29)</f>
        <v>6424565.2032744624</v>
      </c>
      <c r="V10">
        <f t="shared" si="1"/>
        <v>99.026860635461418</v>
      </c>
      <c r="W10">
        <f t="shared" si="2"/>
        <v>64.71909058170651</v>
      </c>
      <c r="Y10" s="30"/>
      <c r="Z10" s="30"/>
    </row>
    <row r="11" spans="1:26" x14ac:dyDescent="0.2">
      <c r="A11">
        <v>15</v>
      </c>
      <c r="B11">
        <v>338.66046905517578</v>
      </c>
      <c r="C11">
        <v>494979.375</v>
      </c>
      <c r="D11">
        <v>6.841910717091511E-4</v>
      </c>
      <c r="F11" t="s">
        <v>134</v>
      </c>
      <c r="G11">
        <v>3.4159701669824525E-3</v>
      </c>
      <c r="H11">
        <v>99140.34739780426</v>
      </c>
      <c r="I11">
        <v>338.66046905517578</v>
      </c>
      <c r="J11">
        <v>494979.375</v>
      </c>
      <c r="K11">
        <v>6142069.7600097656</v>
      </c>
      <c r="L11">
        <v>61.953280588825116</v>
      </c>
      <c r="M11" s="20">
        <v>2.8670023370704909</v>
      </c>
      <c r="N11">
        <v>6.841910717091511E-4</v>
      </c>
      <c r="P11" t="s">
        <v>134</v>
      </c>
      <c r="Q11" s="34">
        <f t="shared" si="0"/>
        <v>8.3651047743054426E-4</v>
      </c>
      <c r="R11">
        <f t="shared" si="4"/>
        <v>4.1751028559495907E-3</v>
      </c>
      <c r="S11">
        <f t="shared" si="3"/>
        <v>99169.444706708062</v>
      </c>
      <c r="T11">
        <f t="shared" si="5"/>
        <v>494964.07156751951</v>
      </c>
      <c r="U11">
        <f>SUM(T11:T29)</f>
        <v>5928406.8058567801</v>
      </c>
      <c r="V11">
        <f t="shared" si="1"/>
        <v>414.04263181791185</v>
      </c>
      <c r="W11">
        <f t="shared" si="2"/>
        <v>59.780578820320535</v>
      </c>
      <c r="Y11" s="30"/>
      <c r="Z11" s="30"/>
    </row>
    <row r="12" spans="1:26" x14ac:dyDescent="0.2">
      <c r="A12">
        <v>20</v>
      </c>
      <c r="B12">
        <v>638.99813079833984</v>
      </c>
      <c r="C12">
        <v>492505.109375</v>
      </c>
      <c r="D12">
        <v>1.2974446734354548E-3</v>
      </c>
      <c r="F12" t="s">
        <v>135</v>
      </c>
      <c r="G12">
        <v>6.4674819900509785E-3</v>
      </c>
      <c r="H12">
        <v>98801.686928749084</v>
      </c>
      <c r="I12">
        <v>638.99813079833984</v>
      </c>
      <c r="J12">
        <v>492505.109375</v>
      </c>
      <c r="K12">
        <v>5647090.3850097656</v>
      </c>
      <c r="L12">
        <v>57.15580938493661</v>
      </c>
      <c r="M12" s="20">
        <v>2.6473714142681057</v>
      </c>
      <c r="N12">
        <v>1.2974446734354548E-3</v>
      </c>
      <c r="P12" t="s">
        <v>135</v>
      </c>
      <c r="Q12" s="34">
        <f t="shared" si="0"/>
        <v>1.5860301023690093E-3</v>
      </c>
      <c r="R12">
        <f t="shared" si="4"/>
        <v>7.9006704261795381E-3</v>
      </c>
      <c r="S12">
        <f t="shared" si="3"/>
        <v>98755.402074890153</v>
      </c>
      <c r="T12">
        <f t="shared" si="5"/>
        <v>491941.40983398759</v>
      </c>
      <c r="U12">
        <f>SUM(T12:T29)</f>
        <v>5433442.7342892606</v>
      </c>
      <c r="V12">
        <f t="shared" si="1"/>
        <v>780.23388459855403</v>
      </c>
      <c r="W12">
        <f t="shared" si="2"/>
        <v>55.019195103563696</v>
      </c>
    </row>
    <row r="13" spans="1:26" x14ac:dyDescent="0.2">
      <c r="A13">
        <v>25</v>
      </c>
      <c r="B13">
        <v>791.59890747070312</v>
      </c>
      <c r="C13">
        <v>488884.5625</v>
      </c>
      <c r="D13">
        <v>1.6191939124089302E-3</v>
      </c>
      <c r="F13" t="s">
        <v>136</v>
      </c>
      <c r="G13">
        <v>8.0641526547837253E-3</v>
      </c>
      <c r="H13">
        <v>98162.688797950745</v>
      </c>
      <c r="I13">
        <v>791.59890747070312</v>
      </c>
      <c r="J13">
        <v>488884.5625</v>
      </c>
      <c r="K13">
        <v>5154585.2756347656</v>
      </c>
      <c r="L13">
        <v>52.510636564209243</v>
      </c>
      <c r="M13" s="20">
        <v>2.5633095604984644</v>
      </c>
      <c r="N13">
        <v>1.6191939124089302E-3</v>
      </c>
      <c r="P13" t="s">
        <v>136</v>
      </c>
      <c r="Q13" s="34">
        <f t="shared" si="0"/>
        <v>1.9857081696461661E-3</v>
      </c>
      <c r="R13">
        <f t="shared" si="4"/>
        <v>9.8807323702237524E-3</v>
      </c>
      <c r="S13">
        <f t="shared" si="3"/>
        <v>97975.168190291603</v>
      </c>
      <c r="T13">
        <f t="shared" si="5"/>
        <v>487516.96277123678</v>
      </c>
      <c r="U13">
        <f>SUM(T13:T29)</f>
        <v>4941501.3244552733</v>
      </c>
      <c r="V13">
        <f t="shared" si="1"/>
        <v>968.06641581593078</v>
      </c>
      <c r="W13" s="20">
        <f t="shared" si="2"/>
        <v>50.436262736060591</v>
      </c>
      <c r="Y13" s="30"/>
    </row>
    <row r="14" spans="1:26" x14ac:dyDescent="0.2">
      <c r="A14">
        <v>30</v>
      </c>
      <c r="B14">
        <v>935.72224426269531</v>
      </c>
      <c r="C14">
        <v>484580.15625</v>
      </c>
      <c r="D14">
        <v>1.9309957954199561E-3</v>
      </c>
      <c r="F14" t="s">
        <v>137</v>
      </c>
      <c r="G14">
        <v>9.6098569433203055E-3</v>
      </c>
      <c r="H14">
        <v>97371.089890480042</v>
      </c>
      <c r="I14">
        <v>935.72224426269531</v>
      </c>
      <c r="J14">
        <v>484580.15625</v>
      </c>
      <c r="K14">
        <v>4665700.7131347656</v>
      </c>
      <c r="L14">
        <v>47.91669394255112</v>
      </c>
      <c r="M14" s="20">
        <v>2.5684096254513746</v>
      </c>
      <c r="N14">
        <v>1.9309957954199561E-3</v>
      </c>
      <c r="P14" t="s">
        <v>137</v>
      </c>
      <c r="Q14" s="34">
        <f t="shared" si="0"/>
        <v>2.4495241653682814E-3</v>
      </c>
      <c r="R14">
        <f t="shared" si="4"/>
        <v>1.2175102998870695E-2</v>
      </c>
      <c r="S14">
        <f t="shared" si="3"/>
        <v>97007.101774475668</v>
      </c>
      <c r="T14">
        <f t="shared" si="5"/>
        <v>482163.62688898045</v>
      </c>
      <c r="U14">
        <f>SUM(T14:T29)</f>
        <v>4453984.3616840364</v>
      </c>
      <c r="V14">
        <f t="shared" si="1"/>
        <v>1181.0714557261733</v>
      </c>
      <c r="W14">
        <f t="shared" si="2"/>
        <v>45.914002997829591</v>
      </c>
    </row>
    <row r="15" spans="1:26" x14ac:dyDescent="0.2">
      <c r="A15">
        <v>35</v>
      </c>
      <c r="B15">
        <v>1112.8733062744141</v>
      </c>
      <c r="C15">
        <v>479466.65625</v>
      </c>
      <c r="D15">
        <v>2.3210650662934687E-3</v>
      </c>
      <c r="F15" t="s">
        <v>138</v>
      </c>
      <c r="G15">
        <v>1.1540095023613115E-2</v>
      </c>
      <c r="H15">
        <v>96435.367646217346</v>
      </c>
      <c r="I15">
        <v>1112.8733062744141</v>
      </c>
      <c r="J15">
        <v>479466.65625</v>
      </c>
      <c r="K15">
        <v>4181120.5568847656</v>
      </c>
      <c r="L15">
        <v>43.356712987538124</v>
      </c>
      <c r="M15" s="20">
        <v>2.5646985458213067</v>
      </c>
      <c r="N15">
        <v>2.3210650662934687E-3</v>
      </c>
      <c r="P15" t="s">
        <v>138</v>
      </c>
      <c r="Q15" s="34">
        <f t="shared" si="0"/>
        <v>2.936613842939563E-3</v>
      </c>
      <c r="R15">
        <f t="shared" si="4"/>
        <v>1.4578808284650748E-2</v>
      </c>
      <c r="S15">
        <f t="shared" si="3"/>
        <v>95826.030318749501</v>
      </c>
      <c r="T15">
        <f t="shared" si="5"/>
        <v>475727.96404778463</v>
      </c>
      <c r="U15">
        <f>SUM(T15:T29)</f>
        <v>3971820.7347950549</v>
      </c>
      <c r="V15">
        <f t="shared" si="1"/>
        <v>1397.0293246961789</v>
      </c>
      <c r="W15">
        <f t="shared" si="2"/>
        <v>41.448244507086933</v>
      </c>
    </row>
    <row r="16" spans="1:26" x14ac:dyDescent="0.2">
      <c r="A16">
        <v>40</v>
      </c>
      <c r="B16">
        <v>1348.0297546386719</v>
      </c>
      <c r="C16">
        <v>473375.6328125</v>
      </c>
      <c r="D16">
        <v>2.8476957012542612E-3</v>
      </c>
      <c r="F16" t="s">
        <v>139</v>
      </c>
      <c r="G16">
        <v>1.4141780111536672E-2</v>
      </c>
      <c r="H16">
        <v>95322.494339942932</v>
      </c>
      <c r="I16">
        <v>1348.0297546386719</v>
      </c>
      <c r="J16">
        <v>473375.6328125</v>
      </c>
      <c r="K16">
        <v>3701653.9006347656</v>
      </c>
      <c r="L16">
        <v>38.832952560324088</v>
      </c>
      <c r="M16" s="20">
        <v>2.598837209582018</v>
      </c>
      <c r="N16">
        <v>2.8476957012542612E-3</v>
      </c>
      <c r="P16" t="s">
        <v>139</v>
      </c>
      <c r="Q16" s="34">
        <f t="shared" si="0"/>
        <v>3.6056839522313152E-3</v>
      </c>
      <c r="R16">
        <f t="shared" si="4"/>
        <v>1.7873672469441586E-2</v>
      </c>
      <c r="S16">
        <f t="shared" si="3"/>
        <v>94429.00099405332</v>
      </c>
      <c r="T16">
        <f t="shared" si="5"/>
        <v>468092.33913577528</v>
      </c>
      <c r="U16">
        <f>SUM(T16:T29)</f>
        <v>3496092.7707472704</v>
      </c>
      <c r="V16">
        <f t="shared" si="1"/>
        <v>1687.793035384283</v>
      </c>
      <c r="W16">
        <f t="shared" si="2"/>
        <v>37.023506909359739</v>
      </c>
      <c r="Y16" s="40"/>
    </row>
    <row r="17" spans="1:25" x14ac:dyDescent="0.2">
      <c r="A17">
        <v>45</v>
      </c>
      <c r="B17">
        <v>1815.3407592773438</v>
      </c>
      <c r="C17">
        <v>465583.53125</v>
      </c>
      <c r="D17">
        <v>3.8990656615441521E-3</v>
      </c>
      <c r="F17" t="s">
        <v>140</v>
      </c>
      <c r="G17">
        <v>1.9317383368856425E-2</v>
      </c>
      <c r="H17">
        <v>93974.46458530426</v>
      </c>
      <c r="I17">
        <v>1815.3407592773438</v>
      </c>
      <c r="J17">
        <v>465583.53125</v>
      </c>
      <c r="K17">
        <v>3228278.2678222656</v>
      </c>
      <c r="L17">
        <v>34.352717858709717</v>
      </c>
      <c r="M17" s="20">
        <v>2.6374729347075334</v>
      </c>
      <c r="N17">
        <v>3.8990656615441521E-3</v>
      </c>
      <c r="P17" t="s">
        <v>140</v>
      </c>
      <c r="Q17" s="34">
        <f t="shared" si="0"/>
        <v>4.871796764654864E-3</v>
      </c>
      <c r="R17">
        <f t="shared" si="4"/>
        <v>2.4081808190202558E-2</v>
      </c>
      <c r="S17">
        <f t="shared" si="3"/>
        <v>92741.207958669038</v>
      </c>
      <c r="T17">
        <f t="shared" si="5"/>
        <v>458429.62859034108</v>
      </c>
      <c r="U17">
        <f>SUM(T17:T29)</f>
        <v>3028000.4316114951</v>
      </c>
      <c r="V17">
        <f t="shared" si="1"/>
        <v>2233.3759813883548</v>
      </c>
      <c r="W17">
        <f t="shared" si="2"/>
        <v>32.649999911160862</v>
      </c>
      <c r="Y17" s="41"/>
    </row>
    <row r="18" spans="1:25" x14ac:dyDescent="0.2">
      <c r="A18">
        <v>50</v>
      </c>
      <c r="B18">
        <v>2674.2552185058594</v>
      </c>
      <c r="C18">
        <v>454575.203125</v>
      </c>
      <c r="D18">
        <v>5.8829764582879968E-3</v>
      </c>
      <c r="F18" t="s">
        <v>141</v>
      </c>
      <c r="G18">
        <v>2.9017802117500335E-2</v>
      </c>
      <c r="H18">
        <v>92159.123826026917</v>
      </c>
      <c r="I18">
        <v>2674.2552185058594</v>
      </c>
      <c r="J18">
        <v>454575.203125</v>
      </c>
      <c r="K18">
        <v>2762694.7365722656</v>
      </c>
      <c r="L18">
        <v>29.977441428235945</v>
      </c>
      <c r="M18" s="20">
        <v>2.6739632170896508</v>
      </c>
      <c r="N18">
        <v>5.8829764582879968E-3</v>
      </c>
      <c r="P18" t="s">
        <v>141</v>
      </c>
      <c r="Q18" s="34">
        <f t="shared" si="0"/>
        <v>7.1112713470610307E-3</v>
      </c>
      <c r="R18">
        <f t="shared" si="4"/>
        <v>3.4977786416510247E-2</v>
      </c>
      <c r="S18">
        <f t="shared" si="3"/>
        <v>90507.831977280686</v>
      </c>
      <c r="T18">
        <f t="shared" si="5"/>
        <v>445175.4772697679</v>
      </c>
      <c r="U18">
        <f>SUM(T18:T29)</f>
        <v>2569570.8030211544</v>
      </c>
      <c r="V18">
        <f t="shared" si="1"/>
        <v>3165.76361592272</v>
      </c>
      <c r="W18">
        <f t="shared" si="2"/>
        <v>28.390590591830431</v>
      </c>
      <c r="Y18" s="41"/>
    </row>
    <row r="19" spans="1:25" x14ac:dyDescent="0.2">
      <c r="A19">
        <v>55</v>
      </c>
      <c r="B19">
        <v>3988.9673461914062</v>
      </c>
      <c r="C19">
        <v>438015.671875</v>
      </c>
      <c r="D19">
        <v>9.1069055340325111E-3</v>
      </c>
      <c r="F19" t="s">
        <v>142</v>
      </c>
      <c r="G19">
        <v>4.457700400373768E-2</v>
      </c>
      <c r="H19">
        <v>89484.868607521057</v>
      </c>
      <c r="I19">
        <v>3988.9673461914062</v>
      </c>
      <c r="J19">
        <v>438015.671875</v>
      </c>
      <c r="K19">
        <v>2308119.5334472656</v>
      </c>
      <c r="L19">
        <v>25.79340585021848</v>
      </c>
      <c r="M19" s="20">
        <v>2.641326602588383</v>
      </c>
      <c r="N19">
        <v>9.1069055340325111E-3</v>
      </c>
      <c r="P19" t="s">
        <v>142</v>
      </c>
      <c r="Q19" s="34">
        <f t="shared" si="0"/>
        <v>1.0793959784212033E-2</v>
      </c>
      <c r="R19">
        <f t="shared" si="4"/>
        <v>5.2629872585333991E-2</v>
      </c>
      <c r="S19">
        <f t="shared" si="3"/>
        <v>87342.06836135796</v>
      </c>
      <c r="T19">
        <f t="shared" si="5"/>
        <v>425867.98738322058</v>
      </c>
      <c r="U19">
        <f>SUM(T19:T29)</f>
        <v>2124395.3257513866</v>
      </c>
      <c r="V19">
        <f t="shared" si="1"/>
        <v>4596.8019291978007</v>
      </c>
      <c r="W19">
        <f t="shared" si="2"/>
        <v>24.322704575327705</v>
      </c>
      <c r="Y19" s="41"/>
    </row>
    <row r="20" spans="1:25" x14ac:dyDescent="0.2">
      <c r="A20">
        <v>60</v>
      </c>
      <c r="B20">
        <v>5511.666259765625</v>
      </c>
      <c r="C20">
        <v>414305.5703125</v>
      </c>
      <c r="D20">
        <v>1.3303384397193398E-2</v>
      </c>
      <c r="F20" t="s">
        <v>143</v>
      </c>
      <c r="G20">
        <v>6.4467023312830871E-2</v>
      </c>
      <c r="H20">
        <v>85495.901261329651</v>
      </c>
      <c r="I20">
        <v>5511.666259765625</v>
      </c>
      <c r="J20">
        <v>414305.5703125</v>
      </c>
      <c r="K20">
        <v>1870103.8615722656</v>
      </c>
      <c r="L20">
        <v>21.873608371657994</v>
      </c>
      <c r="M20" s="20">
        <v>2.6098088357932516</v>
      </c>
      <c r="N20">
        <v>1.3303384397193398E-2</v>
      </c>
      <c r="P20" t="s">
        <v>143</v>
      </c>
      <c r="Q20" s="34">
        <f t="shared" si="0"/>
        <v>1.5804593607862918E-2</v>
      </c>
      <c r="R20">
        <f t="shared" si="4"/>
        <v>7.6146459389757948E-2</v>
      </c>
      <c r="S20">
        <f t="shared" si="3"/>
        <v>82745.266432160162</v>
      </c>
      <c r="T20">
        <f t="shared" si="5"/>
        <v>398666.31350372115</v>
      </c>
      <c r="U20">
        <f t="shared" ref="U20" si="6">SUM(T20:T29)</f>
        <v>1698527.3383681665</v>
      </c>
      <c r="V20">
        <f t="shared" si="1"/>
        <v>6300.7590700711853</v>
      </c>
      <c r="W20">
        <f t="shared" si="2"/>
        <v>20.527184352723395</v>
      </c>
      <c r="Y20" s="41"/>
    </row>
    <row r="21" spans="1:25" x14ac:dyDescent="0.2">
      <c r="A21">
        <v>65</v>
      </c>
      <c r="B21">
        <v>7094.84765625</v>
      </c>
      <c r="C21">
        <v>382876.4921875</v>
      </c>
      <c r="D21">
        <v>1.8530381992675468E-2</v>
      </c>
      <c r="F21" t="s">
        <v>144</v>
      </c>
      <c r="G21">
        <v>8.8703075751256064E-2</v>
      </c>
      <c r="H21">
        <v>79984.235001564026</v>
      </c>
      <c r="I21">
        <v>7094.84765625</v>
      </c>
      <c r="J21">
        <v>382876.4921875</v>
      </c>
      <c r="K21">
        <v>1455798.2912597656</v>
      </c>
      <c r="L21">
        <v>18.201065387839225</v>
      </c>
      <c r="M21" s="20">
        <v>2.5975970667523622</v>
      </c>
      <c r="N21">
        <v>1.8530381992675468E-2</v>
      </c>
      <c r="P21" t="s">
        <v>144</v>
      </c>
      <c r="Q21" s="34">
        <f t="shared" si="0"/>
        <v>2.1903282122982259E-2</v>
      </c>
      <c r="R21">
        <f t="shared" si="4"/>
        <v>0.10404168421159063</v>
      </c>
      <c r="S21">
        <f t="shared" si="3"/>
        <v>76444.507362088974</v>
      </c>
      <c r="T21">
        <f t="shared" si="5"/>
        <v>363115.22857717599</v>
      </c>
      <c r="U21">
        <f>SUM(T21:T29)</f>
        <v>1299861.0248644452</v>
      </c>
      <c r="V21">
        <f t="shared" si="1"/>
        <v>7953.4152946770764</v>
      </c>
      <c r="W21" s="20">
        <f t="shared" si="2"/>
        <v>17.003981969659257</v>
      </c>
      <c r="Y21" s="41"/>
    </row>
    <row r="22" spans="1:25" x14ac:dyDescent="0.2">
      <c r="A22">
        <v>70</v>
      </c>
      <c r="B22">
        <v>9045.6353759765625</v>
      </c>
      <c r="C22">
        <v>342835.47265625</v>
      </c>
      <c r="D22">
        <v>2.6384770822844017E-2</v>
      </c>
      <c r="F22" t="s">
        <v>145</v>
      </c>
      <c r="G22">
        <v>0.12410085617982761</v>
      </c>
      <c r="H22">
        <v>72889.387345314026</v>
      </c>
      <c r="I22">
        <v>9045.6353759765625</v>
      </c>
      <c r="J22">
        <v>342835.47265625</v>
      </c>
      <c r="K22">
        <v>1072921.7990722656</v>
      </c>
      <c r="L22">
        <v>14.719863043837787</v>
      </c>
      <c r="M22" s="20">
        <v>2.610840679283188</v>
      </c>
      <c r="N22">
        <v>2.6384770822844017E-2</v>
      </c>
      <c r="P22" t="s">
        <v>145</v>
      </c>
      <c r="Q22" s="34">
        <f t="shared" si="0"/>
        <v>3.1199754035075643E-2</v>
      </c>
      <c r="R22">
        <f t="shared" si="4"/>
        <v>0.14517709755624075</v>
      </c>
      <c r="S22">
        <f t="shared" si="3"/>
        <v>68491.092067411897</v>
      </c>
      <c r="T22">
        <f t="shared" si="5"/>
        <v>318699.24178330199</v>
      </c>
      <c r="U22">
        <f>SUM(T22:T29)</f>
        <v>936745.79628726887</v>
      </c>
      <c r="V22">
        <f t="shared" si="1"/>
        <v>9943.3379548041248</v>
      </c>
      <c r="W22">
        <f t="shared" si="2"/>
        <v>13.676899696171921</v>
      </c>
      <c r="Y22" s="41"/>
    </row>
    <row r="23" spans="1:25" x14ac:dyDescent="0.2">
      <c r="A23">
        <v>75</v>
      </c>
      <c r="B23">
        <v>12190.549072265625</v>
      </c>
      <c r="C23">
        <v>290139.32421875</v>
      </c>
      <c r="D23">
        <v>4.2016190342659597E-2</v>
      </c>
      <c r="F23" t="s">
        <v>146</v>
      </c>
      <c r="G23">
        <v>0.19094349401834085</v>
      </c>
      <c r="H23">
        <v>63843.751969337463</v>
      </c>
      <c r="I23">
        <v>12190.549072265625</v>
      </c>
      <c r="J23">
        <v>290139.32421875</v>
      </c>
      <c r="K23">
        <v>730086.32641601562</v>
      </c>
      <c r="L23">
        <v>11.435517241634821</v>
      </c>
      <c r="M23" s="20">
        <v>2.6145918075097105</v>
      </c>
      <c r="N23">
        <v>4.2016190342659597E-2</v>
      </c>
      <c r="P23" t="s">
        <v>146</v>
      </c>
      <c r="Q23" s="34">
        <f t="shared" si="0"/>
        <v>4.9570407252937397E-2</v>
      </c>
      <c r="R23">
        <f t="shared" si="4"/>
        <v>0.22164363888289301</v>
      </c>
      <c r="S23">
        <f t="shared" si="3"/>
        <v>58547.75411260777</v>
      </c>
      <c r="T23">
        <f t="shared" si="5"/>
        <v>261783.95516753171</v>
      </c>
      <c r="U23">
        <f>SUM(T23:T29)</f>
        <v>618046.55450396705</v>
      </c>
      <c r="V23">
        <f t="shared" si="1"/>
        <v>12976.737269939251</v>
      </c>
      <c r="W23">
        <f t="shared" si="2"/>
        <v>10.556281173744901</v>
      </c>
      <c r="Y23" s="41"/>
    </row>
    <row r="24" spans="1:25" x14ac:dyDescent="0.2">
      <c r="A24">
        <v>80</v>
      </c>
      <c r="B24">
        <v>15401.522705078125</v>
      </c>
      <c r="C24">
        <v>220933.6875</v>
      </c>
      <c r="D24">
        <v>6.9711065249287191E-2</v>
      </c>
      <c r="F24" t="s">
        <v>147</v>
      </c>
      <c r="G24">
        <v>0.29817168812877659</v>
      </c>
      <c r="H24">
        <v>51653.202897071838</v>
      </c>
      <c r="I24">
        <v>15401.522705078125</v>
      </c>
      <c r="J24">
        <v>220933.6875</v>
      </c>
      <c r="K24">
        <v>439947.00219726562</v>
      </c>
      <c r="L24">
        <v>8.5173227897200885</v>
      </c>
      <c r="M24" s="20">
        <v>2.576062594573838</v>
      </c>
      <c r="N24">
        <v>6.9711065249287191E-2</v>
      </c>
      <c r="P24" t="s">
        <v>147</v>
      </c>
      <c r="Q24" s="34">
        <f t="shared" si="0"/>
        <v>8.1034721555185651E-2</v>
      </c>
      <c r="R24">
        <f t="shared" si="4"/>
        <v>0.3386541184658805</v>
      </c>
      <c r="S24">
        <f t="shared" si="3"/>
        <v>45571.01684266852</v>
      </c>
      <c r="T24">
        <f t="shared" si="5"/>
        <v>190446.91263531719</v>
      </c>
      <c r="U24">
        <f>SUM(T24:T29)</f>
        <v>356262.5993364352</v>
      </c>
      <c r="V24">
        <f t="shared" si="1"/>
        <v>15432.8125364477</v>
      </c>
      <c r="W24">
        <f t="shared" si="2"/>
        <v>7.8177452253569992</v>
      </c>
      <c r="Y24" s="41"/>
    </row>
    <row r="25" spans="1:25" x14ac:dyDescent="0.2">
      <c r="A25">
        <v>85</v>
      </c>
      <c r="B25">
        <v>16881.008056640625</v>
      </c>
      <c r="C25">
        <v>138773.05078125</v>
      </c>
      <c r="D25">
        <v>0.12164471388072606</v>
      </c>
      <c r="F25" t="s">
        <v>148</v>
      </c>
      <c r="G25">
        <v>0.46566139740934942</v>
      </c>
      <c r="H25">
        <v>36251.680191993713</v>
      </c>
      <c r="I25">
        <v>16881.008056640625</v>
      </c>
      <c r="J25">
        <v>138773.05078125</v>
      </c>
      <c r="K25">
        <v>219013.31469726562</v>
      </c>
      <c r="L25">
        <v>6.0414665896130062</v>
      </c>
      <c r="M25" s="20">
        <v>2.4832456665995282</v>
      </c>
      <c r="N25">
        <v>0.12164471388072606</v>
      </c>
      <c r="P25" t="s">
        <v>148</v>
      </c>
      <c r="Q25" s="34">
        <f t="shared" si="0"/>
        <v>0.13995917706846656</v>
      </c>
      <c r="R25">
        <f t="shared" si="4"/>
        <v>0.51750754487616191</v>
      </c>
      <c r="S25">
        <f t="shared" si="3"/>
        <v>30138.204306220818</v>
      </c>
      <c r="T25">
        <f t="shared" si="5"/>
        <v>111437.83811945925</v>
      </c>
      <c r="U25">
        <f>SUM(T25:T29)</f>
        <v>165815.68670111807</v>
      </c>
      <c r="V25">
        <f t="shared" si="1"/>
        <v>15596.748117488505</v>
      </c>
      <c r="W25">
        <f t="shared" si="2"/>
        <v>5.5018436074139991</v>
      </c>
      <c r="Y25" s="41"/>
    </row>
    <row r="26" spans="1:25" x14ac:dyDescent="0.2">
      <c r="A26">
        <v>90</v>
      </c>
      <c r="B26">
        <v>12891.08251953125</v>
      </c>
      <c r="C26">
        <v>61809.64892578125</v>
      </c>
      <c r="D26">
        <v>0.20856100533770039</v>
      </c>
      <c r="F26" t="s">
        <v>149</v>
      </c>
      <c r="G26">
        <v>0.66549484857595376</v>
      </c>
      <c r="H26">
        <v>19370.672135353088</v>
      </c>
      <c r="I26">
        <v>12891.08251953125</v>
      </c>
      <c r="J26">
        <v>61809.64892578125</v>
      </c>
      <c r="K26">
        <v>80240.263916015625</v>
      </c>
      <c r="L26">
        <v>4.1423582700349604</v>
      </c>
      <c r="M26" s="20">
        <v>2.281553996889746</v>
      </c>
      <c r="N26">
        <v>0.20856100533770039</v>
      </c>
      <c r="P26" t="s">
        <v>149</v>
      </c>
      <c r="Q26" s="34">
        <f t="shared" si="0"/>
        <v>0.23859253874029721</v>
      </c>
      <c r="R26">
        <f t="shared" si="4"/>
        <v>0.72362126552115047</v>
      </c>
      <c r="S26">
        <f t="shared" si="3"/>
        <v>14541.456188732313</v>
      </c>
      <c r="T26">
        <f t="shared" si="5"/>
        <v>44102.414037617331</v>
      </c>
      <c r="U26">
        <f>SUM(T26:T29)</f>
        <v>54377.848581658815</v>
      </c>
      <c r="V26">
        <f t="shared" si="1"/>
        <v>10522.506929810841</v>
      </c>
      <c r="W26">
        <f t="shared" si="2"/>
        <v>3.7395050314008023</v>
      </c>
      <c r="Y26" s="41"/>
    </row>
    <row r="27" spans="1:25" x14ac:dyDescent="0.2">
      <c r="A27">
        <v>95</v>
      </c>
      <c r="B27">
        <v>5387.8971557617188</v>
      </c>
      <c r="C27">
        <v>16213.929931640625</v>
      </c>
      <c r="D27">
        <v>0.33230050817276097</v>
      </c>
      <c r="F27" t="s">
        <v>150</v>
      </c>
      <c r="G27">
        <v>0.83151827125063149</v>
      </c>
      <c r="H27">
        <v>6479.5896158218384</v>
      </c>
      <c r="I27">
        <v>5387.8971557617188</v>
      </c>
      <c r="J27">
        <v>16213.929931640625</v>
      </c>
      <c r="K27">
        <v>18430.614990234375</v>
      </c>
      <c r="L27">
        <v>2.8444108474448084</v>
      </c>
      <c r="M27" s="20">
        <v>1.9962273444359135</v>
      </c>
      <c r="N27">
        <v>0.33230050817276097</v>
      </c>
      <c r="P27" t="s">
        <v>150</v>
      </c>
      <c r="Q27" s="34">
        <f t="shared" si="0"/>
        <v>0.37549026982099104</v>
      </c>
      <c r="R27">
        <f t="shared" si="4"/>
        <v>0.88230765630040942</v>
      </c>
      <c r="S27">
        <f t="shared" si="3"/>
        <v>4018.9492589214715</v>
      </c>
      <c r="T27">
        <f t="shared" si="5"/>
        <v>9443.5195434484776</v>
      </c>
      <c r="U27">
        <f>SUM(T27:T29)</f>
        <v>10275.434544041482</v>
      </c>
      <c r="V27">
        <f t="shared" si="1"/>
        <v>3545.9497014292706</v>
      </c>
      <c r="W27">
        <f t="shared" si="2"/>
        <v>2.5567465230449327</v>
      </c>
      <c r="Y27" s="41"/>
    </row>
    <row r="28" spans="1:25" x14ac:dyDescent="0.2">
      <c r="A28">
        <v>100</v>
      </c>
      <c r="B28">
        <v>1091.701416015625</v>
      </c>
      <c r="C28">
        <v>2216.68505859375</v>
      </c>
      <c r="D28">
        <v>0.49249279313868477</v>
      </c>
      <c r="F28" s="39" t="s">
        <v>151</v>
      </c>
      <c r="G28">
        <v>1</v>
      </c>
      <c r="H28">
        <v>1091.6924600601196</v>
      </c>
      <c r="I28">
        <v>1091.701416015625</v>
      </c>
      <c r="J28">
        <v>2216.68505859375</v>
      </c>
      <c r="K28">
        <v>2216.68505859375</v>
      </c>
      <c r="L28">
        <v>2.0305032229238598</v>
      </c>
      <c r="M28" s="20">
        <v>2.0304865653504143</v>
      </c>
      <c r="N28">
        <v>0.49249279313868477</v>
      </c>
      <c r="P28" t="s">
        <v>157</v>
      </c>
      <c r="Q28" s="34">
        <f t="shared" si="0"/>
        <v>0.56856716990923117</v>
      </c>
      <c r="R28">
        <v>1</v>
      </c>
      <c r="S28">
        <f t="shared" si="3"/>
        <v>472.99955749220089</v>
      </c>
      <c r="T28">
        <f>V28/Q28</f>
        <v>831.91500059300438</v>
      </c>
      <c r="U28">
        <f>SUM(T28)</f>
        <v>831.91500059300438</v>
      </c>
      <c r="V28">
        <f>S28*R28</f>
        <v>472.99955749220089</v>
      </c>
      <c r="W28">
        <f t="shared" si="2"/>
        <v>1.7588071435071513</v>
      </c>
      <c r="Y28" s="41"/>
    </row>
    <row r="29" spans="1:25" x14ac:dyDescent="0.2">
      <c r="Y29" s="41"/>
    </row>
    <row r="30" spans="1:25" x14ac:dyDescent="0.2">
      <c r="O30" s="42" t="s">
        <v>168</v>
      </c>
      <c r="Y30" s="41"/>
    </row>
    <row r="31" spans="1:25" x14ac:dyDescent="0.2">
      <c r="C31" s="43"/>
      <c r="D31" s="45" t="s">
        <v>158</v>
      </c>
      <c r="E31" t="s">
        <v>167</v>
      </c>
      <c r="P31" s="44" t="s">
        <v>159</v>
      </c>
      <c r="Q31" s="44" t="s">
        <v>123</v>
      </c>
      <c r="R31" s="44" t="s">
        <v>160</v>
      </c>
      <c r="S31" s="44" t="s">
        <v>161</v>
      </c>
      <c r="T31" s="44" t="s">
        <v>162</v>
      </c>
      <c r="U31" s="44" t="s">
        <v>163</v>
      </c>
      <c r="V31" s="44" t="s">
        <v>164</v>
      </c>
      <c r="W31" s="44" t="s">
        <v>165</v>
      </c>
      <c r="Y31" s="41"/>
    </row>
    <row r="32" spans="1:25" x14ac:dyDescent="0.2">
      <c r="C32" s="43">
        <v>0</v>
      </c>
      <c r="D32" s="43">
        <v>0.93645579999999995</v>
      </c>
      <c r="P32" s="44" t="s">
        <v>130</v>
      </c>
      <c r="Q32" s="44">
        <f t="shared" ref="Q32:Q53" si="7">R7</f>
        <v>5.6958772933262333E-3</v>
      </c>
      <c r="R32" s="44">
        <f>Q32*0.95</f>
        <v>5.4110834286599215E-3</v>
      </c>
      <c r="S32" s="44">
        <f>Q32*1.05</f>
        <v>5.9806711579925452E-3</v>
      </c>
      <c r="T32" s="44">
        <f t="shared" ref="T32:T53" si="8">M7</f>
        <v>0.1290049511077731</v>
      </c>
      <c r="U32" s="44">
        <f>T32*0.95</f>
        <v>0.12255470355238444</v>
      </c>
      <c r="V32" s="44">
        <f>T32*1.05</f>
        <v>0.13545519866316177</v>
      </c>
      <c r="W32" s="44">
        <f t="shared" ref="W32:W53" si="9">N7</f>
        <v>6.1127026916061407E-3</v>
      </c>
      <c r="Y32" s="41"/>
    </row>
    <row r="33" spans="3:25" x14ac:dyDescent="0.2">
      <c r="C33" s="43">
        <v>1</v>
      </c>
      <c r="D33" s="43">
        <v>1.0085329999999999</v>
      </c>
      <c r="P33" s="44" t="s">
        <v>131</v>
      </c>
      <c r="Q33" s="44">
        <f t="shared" si="7"/>
        <v>1.0264007136724115E-3</v>
      </c>
      <c r="R33" s="44">
        <f t="shared" ref="R33:R52" si="10">Q33*0.95</f>
        <v>9.7508067798879089E-4</v>
      </c>
      <c r="S33" s="44">
        <f t="shared" ref="S33:S52" si="11">Q33*1.05</f>
        <v>1.0777207493560322E-3</v>
      </c>
      <c r="T33" s="44">
        <f t="shared" si="8"/>
        <v>1.5827168723891387</v>
      </c>
      <c r="U33" s="44">
        <f t="shared" ref="U33:U53" si="12">T33*0.95</f>
        <v>1.5035810287696818</v>
      </c>
      <c r="V33" s="44">
        <f t="shared" ref="V33:V53" si="13">T33*1.05</f>
        <v>1.6618527160085956</v>
      </c>
      <c r="W33" s="44">
        <f t="shared" si="9"/>
        <v>2.5458704866581679E-4</v>
      </c>
      <c r="Y33" s="41"/>
    </row>
    <row r="34" spans="3:25" x14ac:dyDescent="0.2">
      <c r="C34" s="43">
        <v>5</v>
      </c>
      <c r="D34" s="43">
        <v>0.96404860000000003</v>
      </c>
      <c r="P34" s="44" t="s">
        <v>132</v>
      </c>
      <c r="Q34" s="44">
        <f t="shared" si="7"/>
        <v>6.0290192169675438E-4</v>
      </c>
      <c r="R34" s="44">
        <f t="shared" si="10"/>
        <v>5.7275682561191662E-4</v>
      </c>
      <c r="S34" s="44">
        <f t="shared" si="11"/>
        <v>6.3304701778159214E-4</v>
      </c>
      <c r="T34" s="44">
        <f t="shared" si="8"/>
        <v>2.310704102925476</v>
      </c>
      <c r="U34" s="44">
        <f t="shared" si="12"/>
        <v>2.1951688977792023</v>
      </c>
      <c r="V34" s="44">
        <f t="shared" si="13"/>
        <v>2.4262393080717497</v>
      </c>
      <c r="W34" s="44">
        <f t="shared" si="9"/>
        <v>1.2511765318466405E-4</v>
      </c>
      <c r="Y34" s="41"/>
    </row>
    <row r="35" spans="3:25" x14ac:dyDescent="0.2">
      <c r="C35" s="43">
        <v>10</v>
      </c>
      <c r="D35" s="43">
        <v>1.1201650000000001</v>
      </c>
      <c r="P35" s="44" t="s">
        <v>133</v>
      </c>
      <c r="Q35" s="44">
        <f t="shared" si="7"/>
        <v>9.9756608590756629E-4</v>
      </c>
      <c r="R35" s="44">
        <f t="shared" si="10"/>
        <v>9.4768778161218796E-4</v>
      </c>
      <c r="S35" s="44">
        <f t="shared" si="11"/>
        <v>1.0474443902029446E-3</v>
      </c>
      <c r="T35" s="44">
        <f t="shared" si="8"/>
        <v>3.1423179745836936</v>
      </c>
      <c r="U35" s="44">
        <f t="shared" si="12"/>
        <v>2.9852020758545086</v>
      </c>
      <c r="V35" s="44">
        <f t="shared" si="13"/>
        <v>3.2994338733128785</v>
      </c>
      <c r="W35" s="44">
        <f t="shared" si="9"/>
        <v>1.7817659952290167E-4</v>
      </c>
      <c r="Y35" s="41"/>
    </row>
    <row r="36" spans="3:25" x14ac:dyDescent="0.2">
      <c r="C36" s="43">
        <v>15</v>
      </c>
      <c r="D36" s="43">
        <v>1.2226269999999999</v>
      </c>
      <c r="P36" s="44" t="s">
        <v>134</v>
      </c>
      <c r="Q36" s="44">
        <f t="shared" si="7"/>
        <v>4.1751028559495907E-3</v>
      </c>
      <c r="R36" s="44">
        <f t="shared" si="10"/>
        <v>3.9663477131521106E-3</v>
      </c>
      <c r="S36" s="44">
        <f t="shared" si="11"/>
        <v>4.3838579987470708E-3</v>
      </c>
      <c r="T36" s="44">
        <f t="shared" si="8"/>
        <v>2.8670023370704909</v>
      </c>
      <c r="U36" s="44">
        <f t="shared" si="12"/>
        <v>2.7236522202169664</v>
      </c>
      <c r="V36" s="44">
        <f t="shared" si="13"/>
        <v>3.0103524539240154</v>
      </c>
      <c r="W36" s="44">
        <f t="shared" si="9"/>
        <v>6.841910717091511E-4</v>
      </c>
      <c r="Y36" s="41"/>
    </row>
    <row r="37" spans="3:25" x14ac:dyDescent="0.2">
      <c r="C37" s="43">
        <v>20</v>
      </c>
      <c r="D37" s="43">
        <v>1.222426</v>
      </c>
      <c r="P37" s="44" t="s">
        <v>135</v>
      </c>
      <c r="Q37" s="44">
        <f t="shared" si="7"/>
        <v>7.9006704261795381E-3</v>
      </c>
      <c r="R37" s="44">
        <f t="shared" si="10"/>
        <v>7.5056369048705609E-3</v>
      </c>
      <c r="S37" s="44">
        <f t="shared" si="11"/>
        <v>8.2957039474885162E-3</v>
      </c>
      <c r="T37" s="44">
        <f t="shared" si="8"/>
        <v>2.6473714142681057</v>
      </c>
      <c r="U37" s="44">
        <f t="shared" si="12"/>
        <v>2.5150028435547003</v>
      </c>
      <c r="V37" s="44">
        <f t="shared" si="13"/>
        <v>2.7797399849815112</v>
      </c>
      <c r="W37" s="44">
        <f t="shared" si="9"/>
        <v>1.2974446734354548E-3</v>
      </c>
      <c r="Y37" s="41"/>
    </row>
    <row r="38" spans="3:25" x14ac:dyDescent="0.2">
      <c r="C38" s="43">
        <v>25</v>
      </c>
      <c r="D38" s="43">
        <v>1.226356</v>
      </c>
      <c r="P38" s="44" t="s">
        <v>136</v>
      </c>
      <c r="Q38" s="44">
        <f t="shared" si="7"/>
        <v>9.8807323702237524E-3</v>
      </c>
      <c r="R38" s="44">
        <f t="shared" si="10"/>
        <v>9.3866957517125642E-3</v>
      </c>
      <c r="S38" s="44">
        <f t="shared" si="11"/>
        <v>1.0374768988734941E-2</v>
      </c>
      <c r="T38" s="44">
        <f t="shared" si="8"/>
        <v>2.5633095604984644</v>
      </c>
      <c r="U38" s="44">
        <f t="shared" si="12"/>
        <v>2.4351440824735411</v>
      </c>
      <c r="V38" s="44">
        <f t="shared" si="13"/>
        <v>2.6914750385233877</v>
      </c>
      <c r="W38" s="44">
        <f t="shared" si="9"/>
        <v>1.6191939124089302E-3</v>
      </c>
      <c r="Y38" s="41"/>
    </row>
    <row r="39" spans="3:25" x14ac:dyDescent="0.2">
      <c r="C39" s="43">
        <v>30</v>
      </c>
      <c r="D39" s="43">
        <v>1.268529</v>
      </c>
      <c r="P39" s="44" t="s">
        <v>137</v>
      </c>
      <c r="Q39" s="44">
        <f t="shared" si="7"/>
        <v>1.2175102998870695E-2</v>
      </c>
      <c r="R39" s="44">
        <f t="shared" si="10"/>
        <v>1.1566347848927159E-2</v>
      </c>
      <c r="S39" s="44">
        <f t="shared" si="11"/>
        <v>1.278385814881423E-2</v>
      </c>
      <c r="T39" s="44">
        <f t="shared" si="8"/>
        <v>2.5684096254513746</v>
      </c>
      <c r="U39" s="44">
        <f t="shared" si="12"/>
        <v>2.439989144178806</v>
      </c>
      <c r="V39" s="44">
        <f t="shared" si="13"/>
        <v>2.6968301067239433</v>
      </c>
      <c r="W39" s="44">
        <f t="shared" si="9"/>
        <v>1.9309957954199561E-3</v>
      </c>
    </row>
    <row r="40" spans="3:25" x14ac:dyDescent="0.2">
      <c r="C40" s="43">
        <v>35</v>
      </c>
      <c r="D40" s="43">
        <v>1.265201</v>
      </c>
      <c r="P40" s="44" t="s">
        <v>138</v>
      </c>
      <c r="Q40" s="44">
        <f t="shared" si="7"/>
        <v>1.4578808284650748E-2</v>
      </c>
      <c r="R40" s="44">
        <f t="shared" si="10"/>
        <v>1.384986787041821E-2</v>
      </c>
      <c r="S40" s="44">
        <f t="shared" si="11"/>
        <v>1.5307748698883286E-2</v>
      </c>
      <c r="T40" s="44">
        <f t="shared" si="8"/>
        <v>2.5646985458213067</v>
      </c>
      <c r="U40" s="44">
        <f t="shared" si="12"/>
        <v>2.4364636185302411</v>
      </c>
      <c r="V40" s="44">
        <f t="shared" si="13"/>
        <v>2.6929334731123724</v>
      </c>
      <c r="W40" s="44">
        <f t="shared" si="9"/>
        <v>2.3210650662934687E-3</v>
      </c>
    </row>
    <row r="41" spans="3:25" x14ac:dyDescent="0.2">
      <c r="C41" s="43">
        <v>40</v>
      </c>
      <c r="D41" s="43">
        <v>1.266176</v>
      </c>
      <c r="P41" s="44" t="s">
        <v>139</v>
      </c>
      <c r="Q41" s="44">
        <f t="shared" si="7"/>
        <v>1.7873672469441586E-2</v>
      </c>
      <c r="R41" s="44">
        <f t="shared" si="10"/>
        <v>1.6979988845969508E-2</v>
      </c>
      <c r="S41" s="44">
        <f t="shared" si="11"/>
        <v>1.8767356092913665E-2</v>
      </c>
      <c r="T41" s="44">
        <f t="shared" si="8"/>
        <v>2.598837209582018</v>
      </c>
      <c r="U41" s="44">
        <f t="shared" si="12"/>
        <v>2.4688953491029171</v>
      </c>
      <c r="V41" s="44">
        <f t="shared" si="13"/>
        <v>2.728779070061119</v>
      </c>
      <c r="W41" s="44">
        <f t="shared" si="9"/>
        <v>2.8476957012542612E-3</v>
      </c>
    </row>
    <row r="42" spans="3:25" x14ac:dyDescent="0.2">
      <c r="C42" s="43">
        <v>45</v>
      </c>
      <c r="D42" s="43">
        <v>1.2494780000000001</v>
      </c>
      <c r="P42" s="44" t="s">
        <v>140</v>
      </c>
      <c r="Q42" s="44">
        <f t="shared" si="7"/>
        <v>2.4081808190202558E-2</v>
      </c>
      <c r="R42" s="44">
        <f t="shared" si="10"/>
        <v>2.287771778069243E-2</v>
      </c>
      <c r="S42" s="44">
        <f t="shared" si="11"/>
        <v>2.5285898599712687E-2</v>
      </c>
      <c r="T42" s="44">
        <f t="shared" si="8"/>
        <v>2.6374729347075334</v>
      </c>
      <c r="U42" s="44">
        <f t="shared" si="12"/>
        <v>2.5055992879721565</v>
      </c>
      <c r="V42" s="44">
        <f t="shared" si="13"/>
        <v>2.7693465814429103</v>
      </c>
      <c r="W42" s="44">
        <f t="shared" si="9"/>
        <v>3.8990656615441521E-3</v>
      </c>
    </row>
    <row r="43" spans="3:25" x14ac:dyDescent="0.2">
      <c r="C43" s="43">
        <v>50</v>
      </c>
      <c r="D43" s="43">
        <v>1.208788</v>
      </c>
      <c r="P43" s="44" t="s">
        <v>141</v>
      </c>
      <c r="Q43" s="44">
        <f t="shared" si="7"/>
        <v>3.4977786416510247E-2</v>
      </c>
      <c r="R43" s="44">
        <f t="shared" si="10"/>
        <v>3.3228897095684731E-2</v>
      </c>
      <c r="S43" s="44">
        <f t="shared" si="11"/>
        <v>3.6726675737335762E-2</v>
      </c>
      <c r="T43" s="44">
        <f t="shared" si="8"/>
        <v>2.6739632170896508</v>
      </c>
      <c r="U43" s="44">
        <f t="shared" si="12"/>
        <v>2.5402650562351683</v>
      </c>
      <c r="V43" s="44">
        <f t="shared" si="13"/>
        <v>2.8076613779441333</v>
      </c>
      <c r="W43" s="44">
        <f t="shared" si="9"/>
        <v>5.8829764582879968E-3</v>
      </c>
    </row>
    <row r="44" spans="3:25" x14ac:dyDescent="0.2">
      <c r="C44" s="43">
        <v>55</v>
      </c>
      <c r="D44" s="43">
        <v>1.1852499999999999</v>
      </c>
      <c r="P44" s="44" t="s">
        <v>142</v>
      </c>
      <c r="Q44" s="44">
        <f t="shared" si="7"/>
        <v>5.2629872585333991E-2</v>
      </c>
      <c r="R44" s="44">
        <f t="shared" si="10"/>
        <v>4.9998378956067291E-2</v>
      </c>
      <c r="S44" s="44">
        <f t="shared" si="11"/>
        <v>5.5261366214600691E-2</v>
      </c>
      <c r="T44" s="44">
        <f t="shared" si="8"/>
        <v>2.641326602588383</v>
      </c>
      <c r="U44" s="44">
        <f t="shared" si="12"/>
        <v>2.5092602724589637</v>
      </c>
      <c r="V44" s="44">
        <f t="shared" si="13"/>
        <v>2.7733929327178024</v>
      </c>
      <c r="W44" s="44">
        <f t="shared" si="9"/>
        <v>9.1069055340325111E-3</v>
      </c>
    </row>
    <row r="45" spans="3:25" x14ac:dyDescent="0.2">
      <c r="C45" s="43">
        <v>60</v>
      </c>
      <c r="D45" s="43">
        <v>1.188013</v>
      </c>
      <c r="P45" s="44" t="s">
        <v>143</v>
      </c>
      <c r="Q45" s="44">
        <f t="shared" si="7"/>
        <v>7.6146459389757948E-2</v>
      </c>
      <c r="R45" s="44">
        <f t="shared" si="10"/>
        <v>7.2339136420270053E-2</v>
      </c>
      <c r="S45" s="44">
        <f t="shared" si="11"/>
        <v>7.9953782359245842E-2</v>
      </c>
      <c r="T45" s="44">
        <f t="shared" si="8"/>
        <v>2.6098088357932516</v>
      </c>
      <c r="U45" s="44">
        <f t="shared" si="12"/>
        <v>2.479318394003589</v>
      </c>
      <c r="V45" s="44">
        <f t="shared" si="13"/>
        <v>2.7402992775829143</v>
      </c>
      <c r="W45" s="44">
        <f t="shared" si="9"/>
        <v>1.3303384397193398E-2</v>
      </c>
    </row>
    <row r="46" spans="3:25" x14ac:dyDescent="0.2">
      <c r="C46" s="43">
        <v>65</v>
      </c>
      <c r="D46" s="43">
        <v>1.1820200000000001</v>
      </c>
      <c r="P46" s="44" t="s">
        <v>144</v>
      </c>
      <c r="Q46" s="44">
        <f t="shared" si="7"/>
        <v>0.10404168421159063</v>
      </c>
      <c r="R46" s="44">
        <f t="shared" si="10"/>
        <v>9.8839600001011094E-2</v>
      </c>
      <c r="S46" s="44">
        <f t="shared" si="11"/>
        <v>0.10924376842217016</v>
      </c>
      <c r="T46" s="44">
        <f t="shared" si="8"/>
        <v>2.5975970667523622</v>
      </c>
      <c r="U46" s="44">
        <f t="shared" si="12"/>
        <v>2.467717213414744</v>
      </c>
      <c r="V46" s="44">
        <f t="shared" si="13"/>
        <v>2.7274769200899804</v>
      </c>
      <c r="W46" s="44">
        <f t="shared" si="9"/>
        <v>1.8530381992675468E-2</v>
      </c>
    </row>
    <row r="47" spans="3:25" x14ac:dyDescent="0.2">
      <c r="C47" s="43">
        <v>70</v>
      </c>
      <c r="D47" s="43">
        <v>1.182491</v>
      </c>
      <c r="P47" s="44" t="s">
        <v>145</v>
      </c>
      <c r="Q47" s="44">
        <f t="shared" si="7"/>
        <v>0.14517709755624075</v>
      </c>
      <c r="R47" s="44">
        <f t="shared" si="10"/>
        <v>0.1379182426784287</v>
      </c>
      <c r="S47" s="44">
        <f t="shared" si="11"/>
        <v>0.15243595243405281</v>
      </c>
      <c r="T47" s="44">
        <f t="shared" si="8"/>
        <v>2.610840679283188</v>
      </c>
      <c r="U47" s="44">
        <f t="shared" si="12"/>
        <v>2.4802986453190283</v>
      </c>
      <c r="V47" s="44">
        <f t="shared" si="13"/>
        <v>2.7413827132473476</v>
      </c>
      <c r="W47" s="44">
        <f t="shared" si="9"/>
        <v>2.6384770822844017E-2</v>
      </c>
    </row>
    <row r="48" spans="3:25" x14ac:dyDescent="0.2">
      <c r="C48" s="43">
        <v>75</v>
      </c>
      <c r="D48" s="43">
        <v>1.1797930000000001</v>
      </c>
      <c r="P48" s="44" t="s">
        <v>146</v>
      </c>
      <c r="Q48" s="44">
        <f t="shared" si="7"/>
        <v>0.22164363888289301</v>
      </c>
      <c r="R48" s="44">
        <f t="shared" si="10"/>
        <v>0.21056145693874836</v>
      </c>
      <c r="S48" s="44">
        <f t="shared" si="11"/>
        <v>0.23272582082703766</v>
      </c>
      <c r="T48" s="44">
        <f t="shared" si="8"/>
        <v>2.6145918075097105</v>
      </c>
      <c r="U48" s="44">
        <f t="shared" si="12"/>
        <v>2.4838622171342251</v>
      </c>
      <c r="V48" s="44">
        <f t="shared" si="13"/>
        <v>2.745321397885196</v>
      </c>
      <c r="W48" s="44">
        <f t="shared" si="9"/>
        <v>4.2016190342659597E-2</v>
      </c>
    </row>
    <row r="49" spans="3:23" x14ac:dyDescent="0.2">
      <c r="C49" s="43">
        <v>80</v>
      </c>
      <c r="D49" s="43">
        <v>1.1624369999999999</v>
      </c>
      <c r="P49" s="44" t="s">
        <v>147</v>
      </c>
      <c r="Q49" s="44">
        <f t="shared" si="7"/>
        <v>0.3386541184658805</v>
      </c>
      <c r="R49" s="44">
        <f t="shared" si="10"/>
        <v>0.32172141254258646</v>
      </c>
      <c r="S49" s="44">
        <f t="shared" si="11"/>
        <v>0.35558682438917455</v>
      </c>
      <c r="T49" s="44">
        <f t="shared" si="8"/>
        <v>2.576062594573838</v>
      </c>
      <c r="U49" s="44">
        <f t="shared" si="12"/>
        <v>2.4472594648451458</v>
      </c>
      <c r="V49" s="44">
        <f t="shared" si="13"/>
        <v>2.7048657243025302</v>
      </c>
      <c r="W49" s="44">
        <f t="shared" si="9"/>
        <v>6.9711065249287191E-2</v>
      </c>
    </row>
    <row r="50" spans="3:23" x14ac:dyDescent="0.2">
      <c r="C50" s="43">
        <v>85</v>
      </c>
      <c r="D50" s="43">
        <v>1.1505570000000001</v>
      </c>
      <c r="P50" s="44" t="s">
        <v>148</v>
      </c>
      <c r="Q50" s="44">
        <f t="shared" si="7"/>
        <v>0.51750754487616191</v>
      </c>
      <c r="R50" s="44">
        <f t="shared" si="10"/>
        <v>0.49163216763235379</v>
      </c>
      <c r="S50" s="44">
        <f t="shared" si="11"/>
        <v>0.54338292211997008</v>
      </c>
      <c r="T50" s="44">
        <f t="shared" si="8"/>
        <v>2.4832456665995282</v>
      </c>
      <c r="U50" s="44">
        <f t="shared" si="12"/>
        <v>2.3590833832695517</v>
      </c>
      <c r="V50" s="44">
        <f t="shared" si="13"/>
        <v>2.6074079499295046</v>
      </c>
      <c r="W50" s="44">
        <f t="shared" si="9"/>
        <v>0.12164471388072606</v>
      </c>
    </row>
    <row r="51" spans="3:23" x14ac:dyDescent="0.2">
      <c r="C51" s="43">
        <v>90</v>
      </c>
      <c r="D51" s="43">
        <v>1.143994</v>
      </c>
      <c r="P51" s="44" t="s">
        <v>149</v>
      </c>
      <c r="Q51" s="44">
        <f t="shared" si="7"/>
        <v>0.72362126552115047</v>
      </c>
      <c r="R51" s="44">
        <f t="shared" si="10"/>
        <v>0.68744020224509295</v>
      </c>
      <c r="S51" s="44">
        <f t="shared" si="11"/>
        <v>0.75980232879720799</v>
      </c>
      <c r="T51" s="44">
        <f t="shared" si="8"/>
        <v>2.281553996889746</v>
      </c>
      <c r="U51" s="44">
        <f t="shared" si="12"/>
        <v>2.1674762970452588</v>
      </c>
      <c r="V51" s="44">
        <f t="shared" si="13"/>
        <v>2.3956316967342333</v>
      </c>
      <c r="W51" s="44">
        <f t="shared" si="9"/>
        <v>0.20856100533770039</v>
      </c>
    </row>
    <row r="52" spans="3:23" x14ac:dyDescent="0.2">
      <c r="C52" s="43">
        <v>95</v>
      </c>
      <c r="D52" s="43">
        <v>1.129972</v>
      </c>
      <c r="P52" s="44" t="s">
        <v>150</v>
      </c>
      <c r="Q52" s="44">
        <f t="shared" si="7"/>
        <v>0.88230765630040942</v>
      </c>
      <c r="R52" s="44">
        <f t="shared" si="10"/>
        <v>0.83819227348538894</v>
      </c>
      <c r="S52" s="44">
        <f t="shared" si="11"/>
        <v>0.92642303911542989</v>
      </c>
      <c r="T52" s="44">
        <f t="shared" si="8"/>
        <v>1.9962273444359135</v>
      </c>
      <c r="U52" s="44">
        <f t="shared" si="12"/>
        <v>1.8964159772141178</v>
      </c>
      <c r="V52" s="44">
        <f t="shared" si="13"/>
        <v>2.0960387116577093</v>
      </c>
      <c r="W52" s="44">
        <f t="shared" si="9"/>
        <v>0.33230050817276097</v>
      </c>
    </row>
    <row r="53" spans="3:23" x14ac:dyDescent="0.2">
      <c r="C53" s="43">
        <v>100</v>
      </c>
      <c r="D53" s="43">
        <v>1.154468</v>
      </c>
      <c r="P53" s="44" t="s">
        <v>157</v>
      </c>
      <c r="Q53" s="44">
        <f t="shared" si="7"/>
        <v>1</v>
      </c>
      <c r="R53" s="44">
        <v>1</v>
      </c>
      <c r="S53" s="44">
        <v>1</v>
      </c>
      <c r="T53" s="44">
        <f t="shared" si="8"/>
        <v>2.0304865653504143</v>
      </c>
      <c r="U53" s="44">
        <f t="shared" si="12"/>
        <v>1.9289622370828934</v>
      </c>
      <c r="V53" s="44">
        <f t="shared" si="13"/>
        <v>2.1320108936179349</v>
      </c>
      <c r="W53" s="44">
        <f t="shared" si="9"/>
        <v>0.49249279313868477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2019 Official LT_Table 2</vt:lpstr>
      <vt:lpstr>2020 Estimated LT</vt:lpstr>
      <vt:lpstr>'2019 Official LT_Table 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2026-07-09T20:22:57Z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2021-08-17T18:07:03Z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f2ecad30-cb32-44c7-889e-04f55605d2bd</vt:lpwstr>
  </property>
  <property fmtid="{D5CDD505-2E9C-101B-9397-08002B2CF9AE}" pid="8" name="MSIP_Label_7b94a7b8-f06c-4dfe-bdcc-9b548fd58c31_ContentBits">
    <vt:lpwstr>0</vt:lpwstr>
  </property>
</Properties>
</file>